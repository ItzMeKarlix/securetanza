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b457e9af8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f9dd0dd00a1749db"/>
    <x:sheet xmlns:r="http://schemas.openxmlformats.org/officeDocument/2006/relationships" name="Daily Tasks" sheetId="2" r:id="R5a45ba0cff68458d"/>
    <x:sheet xmlns:r="http://schemas.openxmlformats.org/officeDocument/2006/relationships" name="Weekly Deliverables" sheetId="3" r:id="R49cacba30e674a2b"/>
    <x:sheet xmlns:r="http://schemas.openxmlformats.org/officeDocument/2006/relationships" name="Budget Runway" sheetId="4" r:id="R91a86c7912464661"/>
    <x:sheet xmlns:r="http://schemas.openxmlformats.org/officeDocument/2006/relationships" name="Roles &amp; Gates" sheetId="5" r:id="Rf4dad4a6f57d46ee"/>
    <x:sheet xmlns:r="http://schemas.openxmlformats.org/officeDocument/2006/relationships" name="Validation Scorecard" sheetId="6" r:id="R2f1a0fae628b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d, yyyy"/>
    <x:numFmt numFmtId="201" formatCode="0.00"/>
    <x:numFmt numFmtId="202" formatCode="0%"/>
    <x:numFmt numFmtId="203" formatCode="#,##0.00"/>
    <x:numFmt numFmtId="204" formatCode="0.0%"/>
    <x:numFmt numFmtId="205" formatCode="&quot;₱&quot;#,##0"/>
    <x:numFmt numFmtId="206" formatCode="0.0"/>
  </x:numFmts>
  <x:fonts count="9">
    <x:font>
      <x:sz val="11"/>
      <x:name val="Carlito"/>
    </x:font>
    <x:font>
      <x:b/>
      <x:sz val="17"/>
      <x:color rgb="FFFFFFFF"/>
      <x:name val="Carlito"/>
    </x:font>
    <x:font>
      <x:sz val="10"/>
      <x:color rgb="FF5D6A79"/>
      <x:name val="Carlito"/>
    </x:font>
    <x:font>
      <x:b/>
      <x:sz val="10"/>
      <x:color rgb="FFFFFFFF"/>
      <x:name val="Carlito"/>
    </x:font>
    <x:font>
      <x:b/>
      <x:sz val="11"/>
      <x:color rgb="FF10243B"/>
      <x:name val="Carlito"/>
    </x:font>
    <x:font>
      <x:b/>
      <x:sz val="11"/>
      <x:color rgb="FF162338"/>
      <x:name val="Carlito"/>
    </x:font>
    <x:font>
      <x:b/>
      <x:sz val="9"/>
      <x:color rgb="FF5D6A79"/>
      <x:name val="Carlito"/>
    </x:font>
    <x:font>
      <x:b/>
      <x:sz val="20"/>
      <x:color rgb="FF10243B"/>
      <x:name val="Carlito"/>
    </x:font>
    <x:font>
      <x:sz val="10"/>
      <x:color rgb="FF1623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43B"/>
      </x:patternFill>
    </x:fill>
    <x:fill>
      <x:patternFill patternType="solid">
        <x:fgColor rgb="FF1466A3"/>
      </x:patternFill>
    </x:fill>
    <x:fill>
      <x:patternFill patternType="solid">
        <x:fgColor rgb="FFE7F1F8"/>
      </x:patternFill>
    </x:fill>
    <x:fill>
      <x:patternFill patternType="solid">
        <x:fgColor rgb="FFE9F5F3"/>
      </x:patternFill>
    </x:fill>
    <x:fill>
      <x:patternFill patternType="solid">
        <x:fgColor rgb="FFFFF5D8"/>
      </x:patternFill>
    </x:fill>
    <x:fill>
      <x:patternFill patternType="solid">
        <x:fgColor rgb="FFFFF7E5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5" fillId="5" borderId="0" xfId="0" applyNumberFormat="1" applyFont="1" applyFill="1" applyBorder="1"/>
    <x:xf numFmtId="203" fontId="5" fillId="5" borderId="0" xfId="0" applyNumberFormat="1" applyFont="1" applyFill="1" applyBorder="1"/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0" fontId="5" fillId="5" borderId="1" xfId="0" applyNumberFormat="1" applyFont="1" applyFill="1" applyBorder="1"/>
    <x:xf numFmtId="203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204" fontId="0" fillId="4" borderId="0" xfId="0" applyNumberFormat="1" applyFont="1" applyFill="1" applyBorder="1"/>
    <x:xf numFmtId="204" fontId="7" fillId="4" borderId="0" xfId="0" applyNumberFormat="1" applyFont="1" applyFill="1" applyBorder="1"/>
    <x:xf numFmtId="204" fontId="7" fillId="4" borderId="0" xfId="0" applyNumberFormat="1" applyFont="1" applyFill="1" applyBorder="1" applyAlignment="1">
      <x:alignment horizontal="center"/>
    </x:xf>
    <x:xf numFmtId="204" fontId="7" fillId="4" borderId="0" xfId="0" applyNumberFormat="1" applyFont="1" applyFill="1" applyBorder="1" applyAlignment="1">
      <x:alignment horizontal="center" vertical="center"/>
    </x:xf>
    <x:xf numFmtId="204" fontId="0" fillId="4" borderId="1" xfId="0" applyNumberFormat="1" applyFont="1" applyFill="1" applyBorder="1"/>
    <x:xf numFmtId="204" fontId="7" fillId="4" borderId="1" xfId="0" applyNumberFormat="1" applyFont="1" applyFill="1" applyBorder="1"/>
    <x:xf numFmtId="204" fontId="7" fillId="4" borderId="1" xfId="0" applyNumberFormat="1" applyFont="1" applyFill="1" applyBorder="1" applyAlignment="1">
      <x:alignment horizontal="center"/>
    </x:xf>
    <x:xf numFmtId="204" fontId="7" fillId="4" borderId="1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5" fontId="0" fillId="5" borderId="0" xfId="0" applyNumberFormat="1" applyFont="1" applyFill="1" applyBorder="1"/>
    <x:xf numFmtId="206" fontId="0" fillId="5" borderId="0" xfId="0" applyNumberFormat="1" applyFont="1" applyFill="1" applyBorder="1"/>
    <x:xf numFmtId="205" fontId="5" fillId="5" borderId="0" xfId="0" applyNumberFormat="1" applyFont="1" applyFill="1" applyBorder="1"/>
    <x:xf numFmtId="206" fontId="5" fillId="5" borderId="0" xfId="0" applyNumberFormat="1" applyFont="1" applyFill="1" applyBorder="1"/>
    <x:xf numFmtId="205" fontId="0" fillId="5" borderId="1" xfId="0" applyNumberFormat="1" applyFont="1" applyFill="1" applyBorder="1"/>
    <x:xf numFmtId="206" fontId="0" fillId="5" borderId="1" xfId="0" applyNumberFormat="1" applyFont="1" applyFill="1" applyBorder="1"/>
    <x:xf numFmtId="205" fontId="5" fillId="5" borderId="1" xfId="0" applyNumberFormat="1" applyFont="1" applyFill="1" applyBorder="1"/>
    <x:xf numFmtId="206" fontId="5" fillId="5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166534"/>
      </x:font>
      <x:fill>
        <x:patternFill patternType="solid">
          <x:bgColor rgb="FFE0F4E9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D4ED8"/>
      </x:font>
      <x:fill>
        <x:patternFill patternType="solid">
          <x:bgColor rgb="FFE7F1FF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6245f8089419c" /><Relationship Type="http://schemas.openxmlformats.org/officeDocument/2006/relationships/theme" Target="/xl/theme/theme1.xml" Id="R948c0d50e8f7488b" /><Relationship Type="http://schemas.openxmlformats.org/officeDocument/2006/relationships/sharedStrings" Target="/xl/sharedStrings.xml" Id="R5d6b747bcb114e4c" /><Relationship Type="http://schemas.openxmlformats.org/officeDocument/2006/relationships/worksheet" Target="/xl/worksheets/sheet1.xml" Id="Rf9dd0dd00a1749db" /><Relationship Type="http://schemas.openxmlformats.org/officeDocument/2006/relationships/worksheet" Target="/xl/worksheets/sheet2.xml" Id="R5a45ba0cff68458d" /><Relationship Type="http://schemas.openxmlformats.org/officeDocument/2006/relationships/worksheet" Target="/xl/worksheets/sheet3.xml" Id="R49cacba30e674a2b" /><Relationship Type="http://schemas.openxmlformats.org/officeDocument/2006/relationships/worksheet" Target="/xl/worksheets/sheet4.xml" Id="R91a86c7912464661" /><Relationship Type="http://schemas.openxmlformats.org/officeDocument/2006/relationships/worksheet" Target="/xl/worksheets/sheet5.xml" Id="Rf4dad4a6f57d46ee" /><Relationship Type="http://schemas.openxmlformats.org/officeDocument/2006/relationships/worksheet" Target="/xl/worksheets/sheet6.xml" Id="R2f1a0fae628b4768" /></Relationships>
</file>

<file path=xl/tables/table1.xml><?xml version="1.0" encoding="utf-8"?>
<x:table xmlns:x="http://schemas.openxmlformats.org/spreadsheetml/2006/main" id="1" name="OperoDailyTasks" displayName="OperoDailyTasks" ref="A5:N203" headerRowCount="1" totalsRowCount="0" totalsRowShown="0">
  <x:tableColumns count="14">
    <x:tableColumn id="1" name="Date"/>
    <x:tableColumn id="2" name="Sprint"/>
    <x:tableColumn id="3" name="Day"/>
    <x:tableColumn id="4" name="Owner"/>
    <x:tableColumn id="5" name="Function"/>
    <x:tableColumn id="6" name="Ticket"/>
    <x:tableColumn id="7" name="Daily action"/>
    <x:tableColumn id="8" name="Est. hours"/>
    <x:tableColumn id="9" name="Status"/>
    <x:tableColumn id="10" name="Actual hours"/>
    <x:tableColumn id="11" name="Evidence / URL"/>
    <x:tableColumn id="12" name="Blocker / note"/>
    <x:tableColumn id="13" name="Priority"/>
    <x:tableColumn id="14" name="Calendar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oWeeklyDeliverables" displayName="OperoWeeklyDeliverables" ref="A5:N18" headerRowCount="1" totalsRowCount="0" totalsRowShown="0">
  <x:tableColumns count="14">
    <x:tableColumn id="1" name="Sprint"/>
    <x:tableColumn id="2" name="Date window"/>
    <x:tableColumn id="3" name="Milestone"/>
    <x:tableColumn id="4" name="Engineering output"/>
    <x:tableColumn id="5" name="Sales output"/>
    <x:tableColumn id="6" name="Marketing output"/>
    <x:tableColumn id="7" name="Finance output"/>
    <x:tableColumn id="8" name="Operations / QA output"/>
    <x:tableColumn id="9" name="Required evidence"/>
    <x:tableColumn id="10" name="Tasks"/>
    <x:tableColumn id="11" name="Done"/>
    <x:tableColumn id="12" name="Completion"/>
    <x:tableColumn id="13" name="Gate"/>
    <x:tableColumn id="14" name="Notes /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557e1202c14c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bf0e01009d4963" /></Relationships>
</file>

<file path=xl/worksheets/sheet1.xml><?xml version="1.0" encoding="utf-8"?>
<x:worksheet xmlns:x="http://schemas.openxmlformats.org/spreadsheetml/2006/main">
  <x:sheetViews>
    <x:sheetView workbookViewId="0">
      <x:pane ySplit="12" topLeftCell="A13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34" hidden="0" customWidth="1"/>
    <x:col min="4" max="4" width="17" hidden="0" customWidth="1"/>
    <x:col min="5" max="5" width="16" hidden="0" customWidth="1"/>
    <x:col min="6" max="6" width="20" hidden="0" customWidth="1"/>
    <x:col min="7" max="7" width="42" hidden="0" customWidth="1"/>
    <x:col min="8" max="8" width="37" hidden="0" customWidth="1"/>
    <x:col min="9" max="9" width="35" hidden="0" customWidth="1"/>
    <x:col min="10" max="10" width="31" hidden="0" customWidth="1"/>
    <x:col min="11" max="11" width="40" hidden="0" customWidth="1"/>
    <x:col min="12" max="12" width="16" hidden="0" customWidth="1"/>
  </x:cols>
  <x:sheetData>
    <x:row r="1" ht="36" customHeight="1">
      <x:c r="A1" s="4" t="str">
        <x:v>POLYSYNE  /  OPERO  |  3-MONTH DELIVERY RUNWAY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5" customHeight="1">
      <x:c r="A3" s="8" t="str">
        <x:v>13 Tuesday–Monday sprints · 66 working days · 3 founders · five functions · October 13, 2026 to January 12, 2027</x:v>
      </x:c>
    </x:row>
    <x:row r="5" ht="32" customHeight="1">
      <x:c r="A5" s="46" t="str">
        <x:v>MISSION: A safe, source-traceable, prompt-to-workspace product prototype; run design-partner pilots only after passing release gates.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7" ht="21" customHeight="1">
      <x:c r="A7" s="48" t="str">
        <x:v>TASKS ASSIGNED</x:v>
      </x:c>
      <x:c r="D7" s="48" t="str">
        <x:v>DONE</x:v>
      </x:c>
      <x:c r="G7" s="48" t="str">
        <x:v>COMPLETION</x:v>
      </x:c>
      <x:c r="J7" s="48" t="str">
        <x:v>BLOCKED</x:v>
      </x:c>
    </x:row>
    <x:row r="8">
      <x:c r="A8" s="54" t="n">
        <x:f>COUNTA('Daily Tasks'!$F$6:$F$203)</x:f>
        <x:v>198</x:v>
      </x:c>
      <x:c r="B8" s="54"/>
      <x:c r="C8" s="54"/>
      <x:c r="D8" s="54" t="n">
        <x:f>COUNTIF('Daily Tasks'!$I$6:$I$203,"Done")</x:f>
        <x:v>0</x:v>
      </x:c>
      <x:c r="E8" s="54"/>
      <x:c r="F8" s="54"/>
      <x:c r="G8" s="61" t="n">
        <x:f>IFERROR(D8/A8,0)</x:f>
        <x:v>0</x:v>
      </x:c>
      <x:c r="H8" s="54"/>
      <x:c r="I8" s="54"/>
      <x:c r="J8" s="54" t="n">
        <x:f>COUNTIF('Daily Tasks'!$I$6:$I$203,"Blocked")</x:f>
        <x:v>0</x:v>
      </x:c>
      <x:c r="K8" s="54"/>
      <x:c r="L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</x:row>
    <x:row r="11" ht="28" customHeight="1">
      <x:c r="A11" s="28" t="str">
        <x:v>WEEKLY DELIVERY MAP — GREEN LIGHT ONLY WHEN REQUIRED EVIDENCE EXISTS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</x:row>
    <x:row r="12" ht="26" customHeight="1">
      <x:c r="A12" s="13" t="str">
        <x:v>Week</x:v>
      </x:c>
      <x:c r="B12" s="13" t="str">
        <x:v>Window</x:v>
      </x:c>
      <x:c r="C12" s="13" t="str">
        <x:v>Gate / milestone</x:v>
      </x:c>
      <x:c r="D12" s="13" t="str">
        <x:v>Tasks</x:v>
      </x:c>
      <x:c r="E12" s="13" t="str">
        <x:v>Done</x:v>
      </x:c>
      <x:c r="F12" s="13" t="str">
        <x:v>Progress</x:v>
      </x:c>
      <x:c r="G12" s="13" t="str">
        <x:v>Engineering</x:v>
      </x:c>
      <x:c r="H12" s="13" t="str">
        <x:v>Sales</x:v>
      </x:c>
      <x:c r="I12" s="13" t="str">
        <x:v>Marketing</x:v>
      </x:c>
      <x:c r="J12" s="13" t="str">
        <x:v>Finance</x:v>
      </x:c>
      <x:c r="K12" s="13" t="str">
        <x:v>Operations / QA</x:v>
      </x:c>
      <x:c r="L12" s="13" t="str">
        <x:v>Gate</x:v>
      </x:c>
    </x:row>
    <x:row r="13" ht="60" customHeight="1">
      <x:c r="A13" t="str">
        <x:f>'Weekly Deliverables'!A6</x:f>
        <x:v>W01</x:v>
      </x:c>
      <x:c r="B13" t="str">
        <x:f>'Weekly Deliverables'!B6</x:f>
        <x:v>Oct 13 – Oct 19</x:v>
      </x:c>
      <x:c r="C13" t="str">
        <x:f>'Weekly Deliverables'!C6</x:f>
        <x:v>ICP + security plan</x:v>
      </x:c>
      <x:c r="D13" t="n">
        <x:f>'Weekly Deliverables'!J6</x:f>
        <x:v>15</x:v>
      </x:c>
      <x:c r="E13" t="n">
        <x:f>'Weekly Deliverables'!K6</x:f>
        <x:v>0</x:v>
      </x:c>
      <x:c r="F13" s="24" t="n">
        <x:f>'Weekly Deliverables'!L6</x:f>
        <x:v>0</x:v>
      </x:c>
      <x:c r="G13" s="22" t="str">
        <x:f>'Weekly Deliverables'!D6</x:f>
        <x:v>Tenant model + initial FastAPI design</x:v>
      </x:c>
      <x:c r="H13" s="22" t="str">
        <x:f>'Weekly Deliverables'!E6</x:f>
        <x:v>5 interviews booked; 2 completed</x:v>
      </x:c>
      <x:c r="I13" s="22" t="str">
        <x:f>'Weekly Deliverables'!F6</x:f>
        <x:v>20 prospects + competitor matrix</x:v>
      </x:c>
      <x:c r="J13" s="22" t="str">
        <x:f>'Weekly Deliverables'!G6</x:f>
        <x:v>Tool ledger + spending ceiling</x:v>
      </x:c>
      <x:c r="K13" s="22" t="str">
        <x:f>'Weekly Deliverables'!H6</x:f>
        <x:v>QA fixtures + staging/runbook skeleton</x:v>
      </x:c>
      <x:c r="L13" t="str">
        <x:f>'Weekly Deliverables'!M6</x:f>
        <x:v>Not reviewed</x:v>
      </x:c>
    </x:row>
    <x:row r="14" ht="60" customHeight="1">
      <x:c r="A14" t="str">
        <x:f>'Weekly Deliverables'!A7</x:f>
        <x:v>W02</x:v>
      </x:c>
      <x:c r="B14" t="str">
        <x:f>'Weekly Deliverables'!B7</x:f>
        <x:v>Oct 20 – Oct 26</x:v>
      </x:c>
      <x:c r="C14" t="str">
        <x:f>'Weekly Deliverables'!C7</x:f>
        <x:v>Problem validation gate</x:v>
      </x:c>
      <x:c r="D14" t="n">
        <x:f>'Weekly Deliverables'!J7</x:f>
        <x:v>15</x:v>
      </x:c>
      <x:c r="E14" t="n">
        <x:f>'Weekly Deliverables'!K7</x:f>
        <x:v>0</x:v>
      </x:c>
      <x:c r="F14" s="24" t="n">
        <x:f>'Weekly Deliverables'!L7</x:f>
        <x:v>0</x:v>
      </x:c>
      <x:c r="G14" s="22" t="str">
        <x:f>'Weekly Deliverables'!D7</x:f>
        <x:v>Signed-off ingestion spec + file limits</x:v>
      </x:c>
      <x:c r="H14" s="22" t="str">
        <x:f>'Weekly Deliverables'!E7</x:f>
        <x:v>10–15 interviews targeted; select repeatable workflow</x:v>
      </x:c>
      <x:c r="I14" s="22" t="str">
        <x:f>'Weekly Deliverables'!F7</x:f>
        <x:v>Positioning statement + competitor gaps</x:v>
      </x:c>
      <x:c r="J14" s="22" t="str">
        <x:f>'Weekly Deliverables'!G7</x:f>
        <x:v>AI test budget + pricing questions</x:v>
      </x:c>
      <x:c r="K14" s="22" t="str">
        <x:f>'Weekly Deliverables'!H7</x:f>
        <x:v>Sample fixture &amp; privacy consent workflow</x:v>
      </x:c>
      <x:c r="L14" t="str">
        <x:f>'Weekly Deliverables'!M7</x:f>
        <x:v>Not reviewed</x:v>
      </x:c>
    </x:row>
    <x:row r="15" ht="60" customHeight="1">
      <x:c r="A15" t="str">
        <x:f>'Weekly Deliverables'!A8</x:f>
        <x:v>W03</x:v>
      </x:c>
      <x:c r="B15" t="str">
        <x:f>'Weekly Deliverables'!B8</x:f>
        <x:v>Oct 27 – Nov 02</x:v>
      </x:c>
      <x:c r="C15" t="str">
        <x:f>'Weekly Deliverables'!C8</x:f>
        <x:v>CSV ingest demo</x:v>
      </x:c>
      <x:c r="D15" t="n">
        <x:f>'Weekly Deliverables'!J8</x:f>
        <x:v>15</x:v>
      </x:c>
      <x:c r="E15" t="n">
        <x:f>'Weekly Deliverables'!K8</x:f>
        <x:v>0</x:v>
      </x:c>
      <x:c r="F15" s="24" t="n">
        <x:f>'Weekly Deliverables'!L8</x:f>
        <x:v>0</x:v>
      </x:c>
      <x:c r="G15" s="22" t="str">
        <x:f>'Weekly Deliverables'!D8</x:f>
        <x:v>Authenticated CSV upload and job status</x:v>
      </x:c>
      <x:c r="H15" s="22" t="str">
        <x:f>'Weekly Deliverables'!E8</x:f>
        <x:v>Prospect-facing example demo</x:v>
      </x:c>
      <x:c r="I15" s="22" t="str">
        <x:f>'Weekly Deliverables'!F8</x:f>
        <x:v>Educational post + audience responses</x:v>
      </x:c>
      <x:c r="J15" s="22" t="str">
        <x:f>'Weekly Deliverables'!G8</x:f>
        <x:v>Actual first upload costs</x:v>
      </x:c>
      <x:c r="K15" s="22" t="str">
        <x:f>'Weekly Deliverables'!H8</x:f>
        <x:v>CSV tests, tenant isolation, staging health</x:v>
      </x:c>
      <x:c r="L15" t="str">
        <x:f>'Weekly Deliverables'!M8</x:f>
        <x:v>Not reviewed</x:v>
      </x:c>
    </x:row>
    <x:row r="16" ht="60" customHeight="1">
      <x:c r="A16" t="str">
        <x:f>'Weekly Deliverables'!A9</x:f>
        <x:v>W04</x:v>
      </x:c>
      <x:c r="B16" t="str">
        <x:f>'Weekly Deliverables'!B9</x:f>
        <x:v>Nov 03 – Nov 09</x:v>
      </x:c>
      <x:c r="C16" t="str">
        <x:f>'Weekly Deliverables'!C9</x:f>
        <x:v>XLSX mapping demo</x:v>
      </x:c>
      <x:c r="D16" t="n">
        <x:f>'Weekly Deliverables'!J9</x:f>
        <x:v>15</x:v>
      </x:c>
      <x:c r="E16" t="n">
        <x:f>'Weekly Deliverables'!K9</x:f>
        <x:v>0</x:v>
      </x:c>
      <x:c r="F16" s="24" t="n">
        <x:f>'Weekly Deliverables'!L9</x:f>
        <x:v>0</x:v>
      </x:c>
      <x:c r="G16" s="22" t="str">
        <x:f>'Weekly Deliverables'!D9</x:f>
        <x:v>XLSX import, schema proposal and preview</x:v>
      </x:c>
      <x:c r="H16" s="22" t="str">
        <x:f>'Weekly Deliverables'!E9</x:f>
        <x:v>Design partner workflow confirmed</x:v>
      </x:c>
      <x:c r="I16" s="22" t="str">
        <x:f>'Weekly Deliverables'!F9</x:f>
        <x:v>Waitlist wireframe + before/after storyboard</x:v>
      </x:c>
      <x:c r="J16" s="22" t="str">
        <x:f>'Weekly Deliverables'!G9</x:f>
        <x:v>3-month spend forecast</x:v>
      </x:c>
      <x:c r="K16" s="22" t="str">
        <x:f>'Weekly Deliverables'!H9</x:f>
        <x:v>Restore-tested backup and mapping tests</x:v>
      </x:c>
      <x:c r="L16" t="str">
        <x:f>'Weekly Deliverables'!M9</x:f>
        <x:v>Not reviewed</x:v>
      </x:c>
    </x:row>
    <x:row r="17" ht="60" customHeight="1">
      <x:c r="A17" t="str">
        <x:f>'Weekly Deliverables'!A10</x:f>
        <x:v>W05</x:v>
      </x:c>
      <x:c r="B17" t="str">
        <x:f>'Weekly Deliverables'!B10</x:f>
        <x:v>Nov 10 – Nov 16</x:v>
      </x:c>
      <x:c r="C17" t="str">
        <x:f>'Weekly Deliverables'!C10</x:f>
        <x:v>Traceable corrected dataset</x:v>
      </x:c>
      <x:c r="D17" t="n">
        <x:f>'Weekly Deliverables'!J10</x:f>
        <x:v>15</x:v>
      </x:c>
      <x:c r="E17" t="n">
        <x:f>'Weekly Deliverables'!K10</x:f>
        <x:v>0</x:v>
      </x:c>
      <x:c r="F17" s="24" t="n">
        <x:f>'Weekly Deliverables'!L10</x:f>
        <x:v>0</x:v>
      </x:c>
      <x:c r="G17" s="22" t="str">
        <x:f>'Weekly Deliverables'!D10</x:f>
        <x:v>Corrections, edit history, source lineage; PDF feasibility</x:v>
      </x:c>
      <x:c r="H17" s="22" t="str">
        <x:f>'Weekly Deliverables'!E10</x:f>
        <x:v>Observed correction/reconciliation process</x:v>
      </x:c>
      <x:c r="I17" s="22" t="str">
        <x:f>'Weekly Deliverables'!F10</x:f>
        <x:v>Prototype landing page + demo script</x:v>
      </x:c>
      <x:c r="J17" s="22" t="str">
        <x:f>'Weekly Deliverables'!G10</x:f>
        <x:v>Parser/processing cost benchmark</x:v>
      </x:c>
      <x:c r="K17" s="22" t="str">
        <x:f>'Weekly Deliverables'!H10</x:f>
        <x:v>Lineage tests + retention/deletion draft</x:v>
      </x:c>
      <x:c r="L17" t="str">
        <x:f>'Weekly Deliverables'!M10</x:f>
        <x:v>Not reviewed</x:v>
      </x:c>
    </x:row>
    <x:row r="18" ht="60" customHeight="1">
      <x:c r="A18" t="str">
        <x:f>'Weekly Deliverables'!A11</x:f>
        <x:v>W06</x:v>
      </x:c>
      <x:c r="B18" t="str">
        <x:f>'Weekly Deliverables'!B11</x:f>
        <x:v>Nov 17 – Nov 23</x:v>
      </x:c>
      <x:c r="C18" t="str">
        <x:f>'Weekly Deliverables'!C11</x:f>
        <x:v>Structured AI planner</x:v>
      </x:c>
      <x:c r="D18" t="n">
        <x:f>'Weekly Deliverables'!J11</x:f>
        <x:v>15</x:v>
      </x:c>
      <x:c r="E18" t="n">
        <x:f>'Weekly Deliverables'!K11</x:f>
        <x:v>0</x:v>
      </x:c>
      <x:c r="F18" s="24" t="n">
        <x:f>'Weekly Deliverables'!L11</x:f>
        <x:v>0</x:v>
      </x:c>
      <x:c r="G18" s="22" t="str">
        <x:f>'Weekly Deliverables'!D11</x:f>
        <x:v>Prompt → validated allowlisted artifact JSON</x:v>
      </x:c>
      <x:c r="H18" s="22" t="str">
        <x:f>'Weekly Deliverables'!E11</x:f>
        <x:v>Five real prompt requests</x:v>
      </x:c>
      <x:c r="I18" s="22" t="str">
        <x:f>'Weekly Deliverables'!F11</x:f>
        <x:v>Progress messaging and positioning comparison</x:v>
      </x:c>
      <x:c r="J18" s="22" t="str">
        <x:f>'Weekly Deliverables'!G11</x:f>
        <x:v>AI cost-per-spec evidence</x:v>
      </x:c>
      <x:c r="K18" s="22" t="str">
        <x:f>'Weekly Deliverables'!H11</x:f>
        <x:v>Golden prompt suite + policy rejection evidence</x:v>
      </x:c>
      <x:c r="L18" t="str">
        <x:f>'Weekly Deliverables'!M11</x:f>
        <x:v>Not reviewed</x:v>
      </x:c>
    </x:row>
    <x:row r="19" ht="60" customHeight="1">
      <x:c r="A19" t="str">
        <x:f>'Weekly Deliverables'!A12</x:f>
        <x:v>W07</x:v>
      </x:c>
      <x:c r="B19" t="str">
        <x:f>'Weekly Deliverables'!B12</x:f>
        <x:v>Nov 24 – Nov 30</x:v>
      </x:c>
      <x:c r="C19" t="str">
        <x:f>'Weekly Deliverables'!C12</x:f>
        <x:v>Persistent tables</x:v>
      </x:c>
      <x:c r="D19" t="n">
        <x:f>'Weekly Deliverables'!J12</x:f>
        <x:v>15</x:v>
      </x:c>
      <x:c r="E19" t="n">
        <x:f>'Weekly Deliverables'!K12</x:f>
        <x:v>0</x:v>
      </x:c>
      <x:c r="F19" s="24" t="n">
        <x:f>'Weekly Deliverables'!L12</x:f>
        <x:v>0</x:v>
      </x:c>
      <x:c r="G19" s="22" t="str">
        <x:f>'Weekly Deliverables'!D12</x:f>
        <x:v>Parameterized query engine + saved sortable table</x:v>
      </x:c>
      <x:c r="H19" s="22" t="str">
        <x:f>'Weekly Deliverables'!E12</x:f>
        <x:v>First partner table demo and feedback</x:v>
      </x:c>
      <x:c r="I19" s="22" t="str">
        <x:f>'Weekly Deliverables'!F12</x:f>
        <x:v>Data-to-workspace one-pager</x:v>
      </x:c>
      <x:c r="J19" s="22" t="str">
        <x:f>'Weekly Deliverables'!G12</x:f>
        <x:v>Measured per-query contribution model</x:v>
      </x:c>
      <x:c r="K19" s="22" t="str">
        <x:f>'Weekly Deliverables'!H12</x:f>
        <x:v>Tenant/query/persistence tests</x:v>
      </x:c>
      <x:c r="L19" t="str">
        <x:f>'Weekly Deliverables'!M12</x:f>
        <x:v>Not reviewed</x:v>
      </x:c>
    </x:row>
    <x:row r="20" ht="60" customHeight="1">
      <x:c r="A20" t="str">
        <x:f>'Weekly Deliverables'!A13</x:f>
        <x:v>W08</x:v>
      </x:c>
      <x:c r="B20" t="str">
        <x:f>'Weekly Deliverables'!B13</x:f>
        <x:v>Dec 01 – Dec 07</x:v>
      </x:c>
      <x:c r="C20" t="str">
        <x:f>'Weekly Deliverables'!C13</x:f>
        <x:v>Generated dashboards</x:v>
      </x:c>
      <x:c r="D20" t="n">
        <x:f>'Weekly Deliverables'!J13</x:f>
        <x:v>15</x:v>
      </x:c>
      <x:c r="E20" t="n">
        <x:f>'Weekly Deliverables'!K13</x:f>
        <x:v>0</x:v>
      </x:c>
      <x:c r="F20" s="24" t="n">
        <x:f>'Weekly Deliverables'!L13</x:f>
        <x:v>0</x:v>
      </x:c>
      <x:c r="G20" s="22" t="str">
        <x:f>'Weekly Deliverables'!D13</x:f>
        <x:v>Charts, dashboards, saved modifications</x:v>
      </x:c>
      <x:c r="H20" s="22" t="str">
        <x:f>'Weekly Deliverables'!E13</x:f>
        <x:v>Observed demo + pricing responses</x:v>
      </x:c>
      <x:c r="I20" s="22" t="str">
        <x:f>'Weekly Deliverables'!F13</x:f>
        <x:v>Demo recording + accurate waitlist</x:v>
      </x:c>
      <x:c r="J20" s="22" t="str">
        <x:f>'Weekly Deliverables'!G13</x:f>
        <x:v>Dashboard and support unit economics</x:v>
      </x:c>
      <x:c r="K20" s="22" t="str">
        <x:f>'Weekly Deliverables'!H13</x:f>
        <x:v>10-prompt benchmark + onboarding guide</x:v>
      </x:c>
      <x:c r="L20" t="str">
        <x:f>'Weekly Deliverables'!M13</x:f>
        <x:v>Not reviewed</x:v>
      </x:c>
    </x:row>
    <x:row r="21" ht="60" customHeight="1">
      <x:c r="A21" t="str">
        <x:f>'Weekly Deliverables'!A14</x:f>
        <x:v>W09</x:v>
      </x:c>
      <x:c r="B21" t="str">
        <x:f>'Weekly Deliverables'!B14</x:f>
        <x:v>Dec 08 – Dec 14</x:v>
      </x:c>
      <x:c r="C21" t="str">
        <x:f>'Weekly Deliverables'!C14</x:f>
        <x:v>Controlled refresh</x:v>
      </x:c>
      <x:c r="D21" t="n">
        <x:f>'Weekly Deliverables'!J14</x:f>
        <x:v>15</x:v>
      </x:c>
      <x:c r="E21" t="n">
        <x:f>'Weekly Deliverables'!K14</x:f>
        <x:v>0</x:v>
      </x:c>
      <x:c r="F21" s="24" t="n">
        <x:f>'Weekly Deliverables'!L14</x:f>
        <x:v>0</x:v>
      </x:c>
      <x:c r="G21" s="22" t="str">
        <x:f>'Weekly Deliverables'!D14</x:f>
        <x:v>Scheduled refresh, exceptions, logs, retries</x:v>
      </x:c>
      <x:c r="H21" s="22" t="str">
        <x:f>'Weekly Deliverables'!E14</x:f>
        <x:v>Automation value feedback + client boundaries</x:v>
      </x:c>
      <x:c r="I21" s="22" t="str">
        <x:f>'Weekly Deliverables'!F14</x:f>
        <x:v>Workflow scenario + FAQ</x:v>
      </x:c>
      <x:c r="J21" s="22" t="str">
        <x:f>'Weekly Deliverables'!G14</x:f>
        <x:v>Per-run cost ceiling</x:v>
      </x:c>
      <x:c r="K21" s="22" t="str">
        <x:f>'Weekly Deliverables'!H14</x:f>
        <x:v>Idempotent retry and failure recovery tests</x:v>
      </x:c>
      <x:c r="L21" t="str">
        <x:f>'Weekly Deliverables'!M14</x:f>
        <x:v>Not reviewed</x:v>
      </x:c>
    </x:row>
    <x:row r="22" ht="60" customHeight="1">
      <x:c r="A22" t="str">
        <x:f>'Weekly Deliverables'!A15</x:f>
        <x:v>W10</x:v>
      </x:c>
      <x:c r="B22" t="str">
        <x:f>'Weekly Deliverables'!B15</x:f>
        <x:v>Dec 15 – Dec 21</x:v>
      </x:c>
      <x:c r="C22" t="str">
        <x:f>'Weekly Deliverables'!C15</x:f>
        <x:v>Pilot-readiness gate</x:v>
      </x:c>
      <x:c r="D22" t="n">
        <x:f>'Weekly Deliverables'!J15</x:f>
        <x:v>15</x:v>
      </x:c>
      <x:c r="E22" t="n">
        <x:f>'Weekly Deliverables'!K15</x:f>
        <x:v>0</x:v>
      </x:c>
      <x:c r="F22" s="24" t="n">
        <x:f>'Weekly Deliverables'!L15</x:f>
        <x:v>0</x:v>
      </x:c>
      <x:c r="G22" s="22" t="str">
        <x:f>'Weekly Deliverables'!D15</x:f>
        <x:v>Usage caps, metering, security remediation</x:v>
      </x:c>
      <x:c r="H22" s="22" t="str">
        <x:f>'Weekly Deliverables'!E15</x:f>
        <x:v>Two scoped pilot agreements targeted</x:v>
      </x:c>
      <x:c r="I22" s="22" t="str">
        <x:f>'Weekly Deliverables'!F15</x:f>
        <x:v>Pilot FAQ + transparent limits</x:v>
      </x:c>
      <x:c r="J22" s="22" t="str">
        <x:f>'Weekly Deliverables'!G15</x:f>
        <x:v>Approved pilot price and cost guards</x:v>
      </x:c>
      <x:c r="K22" s="22" t="str">
        <x:f>'Weekly Deliverables'!H15</x:f>
        <x:v>End-to-end QA, consent, restore, support setup</x:v>
      </x:c>
      <x:c r="L22" t="str">
        <x:f>'Weekly Deliverables'!M15</x:f>
        <x:v>Not reviewed</x:v>
      </x:c>
    </x:row>
    <x:row r="23" ht="60" customHeight="1">
      <x:c r="A23" t="str">
        <x:f>'Weekly Deliverables'!A16</x:f>
        <x:v>W11</x:v>
      </x:c>
      <x:c r="B23" t="str">
        <x:f>'Weekly Deliverables'!B16</x:f>
        <x:v>Dec 22 – Dec 28</x:v>
      </x:c>
      <x:c r="C23" t="str">
        <x:f>'Weekly Deliverables'!C16</x:f>
        <x:v>Pilot A / conditional</x:v>
      </x:c>
      <x:c r="D23" t="n">
        <x:f>'Weekly Deliverables'!J16</x:f>
        <x:v>15</x:v>
      </x:c>
      <x:c r="E23" t="n">
        <x:f>'Weekly Deliverables'!K16</x:f>
        <x:v>0</x:v>
      </x:c>
      <x:c r="F23" s="24" t="n">
        <x:f>'Weekly Deliverables'!L16</x:f>
        <x:v>0</x:v>
      </x:c>
      <x:c r="G23" s="22" t="str">
        <x:f>'Weekly Deliverables'!D16</x:f>
        <x:v>Fix defects from first partner</x:v>
      </x:c>
      <x:c r="H23" s="22" t="str">
        <x:f>'Weekly Deliverables'!E16</x:f>
        <x:v>Pilot A time baseline + review</x:v>
      </x:c>
      <x:c r="I23" s="22" t="str">
        <x:f>'Weekly Deliverables'!F16</x:f>
        <x:v>Consent-based case notes</x:v>
      </x:c>
      <x:c r="J23" s="22" t="str">
        <x:f>'Weekly Deliverables'!G16</x:f>
        <x:v>Actual cost per action + support time</x:v>
      </x:c>
      <x:c r="K23" s="22" t="str">
        <x:f>'Weekly Deliverables'!H16</x:f>
        <x:v>Partner A accuracy/permission signoff</x:v>
      </x:c>
      <x:c r="L23" t="str">
        <x:f>'Weekly Deliverables'!M16</x:f>
        <x:v>Not reviewed</x:v>
      </x:c>
    </x:row>
    <x:row r="24" ht="60" customHeight="1">
      <x:c r="A24" t="str">
        <x:f>'Weekly Deliverables'!A17</x:f>
        <x:v>W12</x:v>
      </x:c>
      <x:c r="B24" t="str">
        <x:f>'Weekly Deliverables'!B17</x:f>
        <x:v>Dec 29 – Jan 04</x:v>
      </x:c>
      <x:c r="C24" t="str">
        <x:f>'Weekly Deliverables'!C17</x:f>
        <x:v>Pilot B / conditional</x:v>
      </x:c>
      <x:c r="D24" t="n">
        <x:f>'Weekly Deliverables'!J17</x:f>
        <x:v>15</x:v>
      </x:c>
      <x:c r="E24" t="n">
        <x:f>'Weekly Deliverables'!K17</x:f>
        <x:v>0</x:v>
      </x:c>
      <x:c r="F24" s="24" t="n">
        <x:f>'Weekly Deliverables'!L17</x:f>
        <x:v>0</x:v>
      </x:c>
      <x:c r="G24" s="22" t="str">
        <x:f>'Weekly Deliverables'!D17</x:f>
        <x:v>Repeat/fix validated flow for second partner</x:v>
      </x:c>
      <x:c r="H24" s="22" t="str">
        <x:f>'Weekly Deliverables'!E17</x:f>
        <x:v>Pilot B willingness-to-pay evidence</x:v>
      </x:c>
      <x:c r="I24" s="22" t="str">
        <x:f>'Weekly Deliverables'!F17</x:f>
        <x:v>Outcome comparison draft</x:v>
      </x:c>
      <x:c r="J24" s="22" t="str">
        <x:f>'Weekly Deliverables'!G17</x:f>
        <x:v>Actual cost/customer comparison</x:v>
      </x:c>
      <x:c r="K24" s="22" t="str">
        <x:f>'Weekly Deliverables'!H17</x:f>
        <x:v>Regression plus partner B evidence</x:v>
      </x:c>
      <x:c r="L24" t="str">
        <x:f>'Weekly Deliverables'!M17</x:f>
        <x:v>Not reviewed</x:v>
      </x:c>
    </x:row>
    <x:row r="25" ht="60" customHeight="1">
      <x:c r="A25" t="str">
        <x:f>'Weekly Deliverables'!A18</x:f>
        <x:v>W13</x:v>
      </x:c>
      <x:c r="B25" t="str">
        <x:f>'Weekly Deliverables'!B18</x:f>
        <x:v>Jan 05 – Jan 11</x:v>
      </x:c>
      <x:c r="C25" t="str">
        <x:f>'Weekly Deliverables'!C18</x:f>
        <x:v>Release candidate decision</x:v>
      </x:c>
      <x:c r="D25" t="n">
        <x:f>'Weekly Deliverables'!J18</x:f>
        <x:v>15</x:v>
      </x:c>
      <x:c r="E25" t="n">
        <x:f>'Weekly Deliverables'!K18</x:f>
        <x:v>0</x:v>
      </x:c>
      <x:c r="F25" s="24" t="n">
        <x:f>'Weekly Deliverables'!L18</x:f>
        <x:v>0</x:v>
      </x:c>
      <x:c r="G25" s="22" t="str">
        <x:f>'Weekly Deliverables'!D18</x:f>
        <x:v>P0 bugs resolved, RC branch, release docs</x:v>
      </x:c>
      <x:c r="H25" s="22" t="str">
        <x:f>'Weekly Deliverables'!E18</x:f>
        <x:v>Next-month pipeline + conversion responses</x:v>
      </x:c>
      <x:c r="I25" s="22" t="str">
        <x:f>'Weekly Deliverables'!F18</x:f>
        <x:v>Evidence-based launch messaging</x:v>
      </x:c>
      <x:c r="J25" s="22" t="str">
        <x:f>'Weekly Deliverables'!G18</x:f>
        <x:v>Pricing, runway, and 36-month contract review</x:v>
      </x:c>
      <x:c r="K25" s="22" t="str">
        <x:f>'Weekly Deliverables'!H18</x:f>
        <x:v>Backup + end-to-end QA + support plan</x:v>
      </x:c>
      <x:c r="L25" t="str">
        <x:f>'Weekly Deliverables'!M18</x:f>
        <x:v>Not reviewed</x:v>
      </x:c>
    </x:row>
    <x:row r="27" ht="28" customHeight="1">
      <x:c r="A27" s="28" t="str">
        <x:v>FINANCIAL &amp; CAPACITY CHECKS (EDIT INPUTS IN BUDGET RUNWAY)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</x:row>
    <x:row r="28" ht="26" customHeight="1">
      <x:c r="A28" s="13" t="str">
        <x:v>Lean monthly PHP</x:v>
      </x:c>
      <x:c r="B28" s="13" t="str">
        <x:v>Pilot-ready monthly PHP</x:v>
      </x:c>
      <x:c r="C28" s="13" t="str">
        <x:v>Lean 3-mo PHP</x:v>
      </x:c>
      <x:c r="D28" s="13" t="str">
        <x:v>Pilot-ready 3-mo PHP</x:v>
      </x:c>
      <x:c r="E28" s="13" t="str">
        <x:v>Planned task-hours</x:v>
      </x:c>
      <x:c r="F28" s="13" t="str">
        <x:v>Final review date</x:v>
      </x:c>
    </x:row>
    <x:row r="29" ht="34" customHeight="1">
      <x:c r="A29" s="72" t="n">
        <x:f>'Budget Runway'!B23</x:f>
        <x:v>7359.999999999999</x:v>
      </x:c>
      <x:c r="B29" s="72" t="n">
        <x:f>'Budget Runway'!C23</x:f>
        <x:v>17710</x:v>
      </x:c>
      <x:c r="C29" s="72" t="n">
        <x:f>'Budget Runway'!B24</x:f>
        <x:v>22079.999999999996</x:v>
      </x:c>
      <x:c r="D29" s="72" t="n">
        <x:f>'Budget Runway'!C24</x:f>
        <x:v>53130</x:v>
      </x:c>
      <x:c r="E29" s="73" t="n">
        <x:f>SUM('Daily Tasks'!H6:H203)</x:f>
        <x:v>283.55000000000035</x:v>
      </x:c>
      <x:c r="F29" s="36" t="str">
        <x:v>Jan 12, 2027</x:v>
      </x:c>
    </x:row>
    <x:row r="31" ht="28" customHeight="1">
      <x:c r="A31" s="80" t="str">
        <x:v>Decision rules: P0 security/data defects block real-data pilots. Unauthorized writes are not allowed. The ₱1,200 plan's billing period still requires confirmation; 36 × ₱1,200 = ₱43,200, so a ₱45,000/36-month offer must add value or be repriced. Pilot weeks are conditional.</x:v>
      </x:c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</x:row>
    <x:row r="32" ht="28" customHeight="1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</x:row>
  </x:sheetData>
  <x:mergeCells>
    <x:mergeCell ref="A1:L2"/>
    <x:mergeCell ref="A5:L5"/>
    <x:mergeCell ref="A8:C9"/>
    <x:mergeCell ref="D8:F9"/>
    <x:mergeCell ref="G8:I9"/>
    <x:mergeCell ref="J8:L9"/>
    <x:mergeCell ref="A11:L11"/>
    <x:mergeCell ref="A27:L27"/>
    <x:mergeCell ref="A31:L32"/>
  </x:mergeCells>
  <x:conditionalFormatting sqref="F13:F25">
    <x:cfRule type="dataBar" priority="1">
      <x:dataBar>
        <x:cfvo type="min"/>
        <x:cfvo type="max"/>
        <x:color rgb="FF168A83"/>
      </x:dataBar>
      <x:extLst>
        <x:ext xmlns:x14="http://schemas.microsoft.com/office/spreadsheetml/2009/9/main" uri="{B025F937-C7B1-47D3-B67F-A62EFF666E3E}">
          <x14:id>{52C91449-CBC7-ECC4-9FA2-668C83A5804F}</x14:id>
        </x:ext>
      </x:extLst>
    </x:cfRule>
  </x:conditionalFormatting>
  <x:conditionalFormatting sqref="L13:L25">
    <x:cfRule type="expression" dxfId="5" priority="2">
      <x:formula>L13="Pass"</x:formula>
    </x:cfRule>
    <x:cfRule type="expression" dxfId="6" priority="3">
      <x:formula>L13="Fail"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C91449-CBC7-ECC4-9FA2-668C83A5804F}">
            <x14:dataBar gradient="1">
              <x14:cfvo type="min"/>
              <x14:cfvo type="max"/>
              <x14:fillColor rgb="FF168A83"/>
            </x14:dataBar>
          </x14:cfRule>
          <xm:sqref>F13:F25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9" hidden="0" customWidth="1"/>
    <x:col min="4" max="4" width="20" hidden="0" customWidth="1"/>
    <x:col min="5" max="5" width="20" hidden="0" customWidth="1"/>
    <x:col min="6" max="6" width="13" hidden="0" customWidth="1"/>
    <x:col min="7" max="7" width="76" hidden="0" customWidth="1"/>
    <x:col min="8" max="8" width="12" hidden="0" customWidth="1"/>
    <x:col min="9" max="9" width="16" hidden="0" customWidth="1"/>
    <x:col min="10" max="10" width="13" hidden="0" customWidth="1"/>
    <x:col min="11" max="11" width="31" hidden="0" customWidth="1"/>
    <x:col min="12" max="12" width="36" hidden="0" customWidth="1"/>
    <x:col min="13" max="13" width="10" hidden="0" customWidth="1"/>
    <x:col min="14" max="14" width="35" hidden="0" customWidth="1"/>
  </x:cols>
  <x:sheetData>
    <x:row r="1" ht="36" customHeight="1">
      <x:c r="A1" s="4" t="str">
        <x:v>OPERO  |  DAILY FOUNDER TASK 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198 assigned tasks · 13 weekly sprints + final decision day · Edit Status, Actual Hours, Evidence, and Blockers</x:v>
      </x:c>
    </x:row>
    <x:row r="5" ht="26" customHeight="1">
      <x:c r="A5" s="13" t="str">
        <x:v>Date</x:v>
      </x:c>
      <x:c r="B5" s="13" t="str">
        <x:v>Sprint</x:v>
      </x:c>
      <x:c r="C5" s="13" t="str">
        <x:v>Day</x:v>
      </x:c>
      <x:c r="D5" s="13" t="str">
        <x:v>Owner</x:v>
      </x:c>
      <x:c r="E5" s="13" t="str">
        <x:v>Function</x:v>
      </x:c>
      <x:c r="F5" s="13" t="str">
        <x:v>Ticket</x:v>
      </x:c>
      <x:c r="G5" s="13" t="str">
        <x:v>Daily action</x:v>
      </x:c>
      <x:c r="H5" s="13" t="str">
        <x:v>Est. hours</x:v>
      </x:c>
      <x:c r="I5" s="13" t="str">
        <x:v>Status</x:v>
      </x:c>
      <x:c r="J5" s="13" t="str">
        <x:v>Actual hours</x:v>
      </x:c>
      <x:c r="K5" s="13" t="str">
        <x:v>Evidence / URL</x:v>
      </x:c>
      <x:c r="L5" s="13" t="str">
        <x:v>Blocker / note</x:v>
      </x:c>
      <x:c r="M5" s="13" t="str">
        <x:v>Priority</x:v>
      </x:c>
      <x:c r="N5" s="13" t="str">
        <x:v>Calendar note</x:v>
      </x:c>
    </x:row>
    <x:row r="6" ht="34" customHeight="1">
      <x:c r="A6" s="18" t="n">
        <x:v>46308</x:v>
      </x:c>
      <x:c r="B6" t="str">
        <x:v>W01</x:v>
      </x:c>
      <x:c r="C6" t="str">
        <x:v>Tue</x:v>
      </x:c>
      <x:c r="D6" t="str">
        <x:v>Founder / CEO</x:v>
      </x:c>
      <x:c r="E6" t="str">
        <x:v>Engineering</x:v>
      </x:c>
      <x:c r="F6" t="str">
        <x:v>ENG-001</x:v>
      </x:c>
      <x:c r="G6" s="22" t="str">
        <x:v>Freeze MVP scope and define upload → dataset → table → saved artifact success path.</x:v>
      </x:c>
      <x:c r="H6" s="20" t="n">
        <x:v>2.5</x:v>
      </x:c>
      <x:c r="I6" t="str">
        <x:v>Not started</x:v>
      </x:c>
      <x:c r="J6" s="20"/>
      <x:c r="K6" t="str"/>
      <x:c r="L6" s="22" t="str"/>
      <x:c r="M6" t="str">
        <x:v>P0</x:v>
      </x:c>
      <x:c r="N6" s="22" t="str"/>
    </x:row>
    <x:row r="7" ht="34" customHeight="1">
      <x:c r="A7" s="18" t="n">
        <x:v>46308</x:v>
      </x:c>
      <x:c r="B7" t="str">
        <x:v>W01</x:v>
      </x:c>
      <x:c r="C7" t="str">
        <x:v>Tue</x:v>
      </x:c>
      <x:c r="D7" t="str">
        <x:v>Co-founder 1</x:v>
      </x:c>
      <x:c r="E7" t="str">
        <x:v>Marketing</x:v>
      </x:c>
      <x:c r="F7" t="str">
        <x:v>MKT-001</x:v>
      </x:c>
      <x:c r="G7" s="22" t="str">
        <x:v>Build a list of 20 reachable Philippine SMEs by sector and workflow type.</x:v>
      </x:c>
      <x:c r="H7" s="20" t="n">
        <x:v>1.25</x:v>
      </x:c>
      <x:c r="I7" t="str">
        <x:v>Not started</x:v>
      </x:c>
      <x:c r="J7" s="20"/>
      <x:c r="K7" t="str"/>
      <x:c r="L7" s="22" t="str"/>
      <x:c r="M7" t="str">
        <x:v>P1</x:v>
      </x:c>
      <x:c r="N7" s="22" t="str"/>
    </x:row>
    <x:row r="8" ht="34" customHeight="1">
      <x:c r="A8" s="18" t="n">
        <x:v>46308</x:v>
      </x:c>
      <x:c r="B8" t="str">
        <x:v>W01</x:v>
      </x:c>
      <x:c r="C8" t="str">
        <x:v>Tue</x:v>
      </x:c>
      <x:c r="D8" t="str">
        <x:v>Co-founder 2</x:v>
      </x:c>
      <x:c r="E8" t="str">
        <x:v>Engineering QA</x:v>
      </x:c>
      <x:c r="F8" t="str">
        <x:v>QA-001</x:v>
      </x:c>
      <x:c r="G8" s="22" t="str">
        <x:v>Write import and cross-tenant acceptance scenarios using fictional records.</x:v>
      </x:c>
      <x:c r="H8" s="20" t="n">
        <x:v>1.05</x:v>
      </x:c>
      <x:c r="I8" t="str">
        <x:v>Not started</x:v>
      </x:c>
      <x:c r="J8" s="20"/>
      <x:c r="K8" t="str"/>
      <x:c r="L8" s="22" t="str"/>
      <x:c r="M8" t="str">
        <x:v>P0</x:v>
      </x:c>
      <x:c r="N8" s="22" t="str"/>
    </x:row>
    <x:row r="9" ht="34" customHeight="1">
      <x:c r="A9" s="18" t="n">
        <x:v>46309</x:v>
      </x:c>
      <x:c r="B9" t="str">
        <x:v>W01</x:v>
      </x:c>
      <x:c r="C9" t="str">
        <x:v>Wed</x:v>
      </x:c>
      <x:c r="D9" t="str">
        <x:v>Founder / CEO</x:v>
      </x:c>
      <x:c r="E9" t="str">
        <x:v>Engineering</x:v>
      </x:c>
      <x:c r="F9" t="str">
        <x:v>ENG-002</x:v>
      </x:c>
      <x:c r="G9" s="22" t="str">
        <x:v>Write organization membership and authorization rules; identify cross-tenant attack cases.</x:v>
      </x:c>
      <x:c r="H9" s="20" t="n">
        <x:v>2.5</x:v>
      </x:c>
      <x:c r="I9" t="str">
        <x:v>Not started</x:v>
      </x:c>
      <x:c r="J9" s="20"/>
      <x:c r="K9" t="str"/>
      <x:c r="L9" s="22" t="str"/>
      <x:c r="M9" t="str">
        <x:v>P0</x:v>
      </x:c>
      <x:c r="N9" s="22" t="str"/>
    </x:row>
    <x:row r="10" ht="34" customHeight="1">
      <x:c r="A10" s="18" t="n">
        <x:v>46309</x:v>
      </x:c>
      <x:c r="B10" t="str">
        <x:v>W01</x:v>
      </x:c>
      <x:c r="C10" t="str">
        <x:v>Wed</x:v>
      </x:c>
      <x:c r="D10" t="str">
        <x:v>Co-founder 1</x:v>
      </x:c>
      <x:c r="E10" t="str">
        <x:v>Sales</x:v>
      </x:c>
      <x:c r="F10" t="str">
        <x:v>SAL-001</x:v>
      </x:c>
      <x:c r="G10" s="22" t="str">
        <x:v>Prepare interview outreach messages and book five discovery conversations.</x:v>
      </x:c>
      <x:c r="H10" s="20" t="n">
        <x:v>1</x:v>
      </x:c>
      <x:c r="I10" t="str">
        <x:v>Not started</x:v>
      </x:c>
      <x:c r="J10" s="20"/>
      <x:c r="K10" t="str"/>
      <x:c r="L10" s="22" t="str"/>
      <x:c r="M10" t="str">
        <x:v>P1</x:v>
      </x:c>
      <x:c r="N10" s="22" t="str"/>
    </x:row>
    <x:row r="11" ht="34" customHeight="1">
      <x:c r="A11" s="18" t="n">
        <x:v>46309</x:v>
      </x:c>
      <x:c r="B11" t="str">
        <x:v>W01</x:v>
      </x:c>
      <x:c r="C11" t="str">
        <x:v>Wed</x:v>
      </x:c>
      <x:c r="D11" t="str">
        <x:v>Co-founder 2</x:v>
      </x:c>
      <x:c r="E11" t="str">
        <x:v>Engineering QA</x:v>
      </x:c>
      <x:c r="F11" t="str">
        <x:v>QA-002</x:v>
      </x:c>
      <x:c r="G11" s="22" t="str">
        <x:v>Set up test fixtures for CSV, XLSX, duplicates and invalid totals.</x:v>
      </x:c>
      <x:c r="H11" s="20" t="n">
        <x:v>1.05</x:v>
      </x:c>
      <x:c r="I11" t="str">
        <x:v>Not started</x:v>
      </x:c>
      <x:c r="J11" s="20"/>
      <x:c r="K11" t="str"/>
      <x:c r="L11" s="22" t="str"/>
      <x:c r="M11" t="str">
        <x:v>P0</x:v>
      </x:c>
      <x:c r="N11" s="22" t="str"/>
    </x:row>
    <x:row r="12" ht="34" customHeight="1">
      <x:c r="A12" s="18" t="n">
        <x:v>46310</x:v>
      </x:c>
      <x:c r="B12" t="str">
        <x:v>W01</x:v>
      </x:c>
      <x:c r="C12" t="str">
        <x:v>Thu</x:v>
      </x:c>
      <x:c r="D12" t="str">
        <x:v>Founder / CEO</x:v>
      </x:c>
      <x:c r="E12" t="str">
        <x:v>Sales</x:v>
      </x:c>
      <x:c r="F12" t="str">
        <x:v>SAL-002</x:v>
      </x:c>
      <x:c r="G12" s="22" t="str">
        <x:v>Interview two spreadsheet-heavy owners; record actual workflow steps and time.</x:v>
      </x:c>
      <x:c r="H12" s="20" t="n">
        <x:v>2</x:v>
      </x:c>
      <x:c r="I12" t="str">
        <x:v>Not started</x:v>
      </x:c>
      <x:c r="J12" s="20"/>
      <x:c r="K12" t="str"/>
      <x:c r="L12" s="22" t="str"/>
      <x:c r="M12" t="str">
        <x:v>P1</x:v>
      </x:c>
      <x:c r="N12" s="22" t="str"/>
    </x:row>
    <x:row r="13" ht="34" customHeight="1">
      <x:c r="A13" s="18" t="n">
        <x:v>46310</x:v>
      </x:c>
      <x:c r="B13" t="str">
        <x:v>W01</x:v>
      </x:c>
      <x:c r="C13" t="str">
        <x:v>Thu</x:v>
      </x:c>
      <x:c r="D13" t="str">
        <x:v>Co-founder 1</x:v>
      </x:c>
      <x:c r="E13" t="str">
        <x:v>Marketing</x:v>
      </x:c>
      <x:c r="F13" t="str">
        <x:v>MKT-002</x:v>
      </x:c>
      <x:c r="G13" s="22" t="str">
        <x:v>Compare Airtable Omni, Retool and n8n against the target invoice workflow.</x:v>
      </x:c>
      <x:c r="H13" s="20" t="n">
        <x:v>1.25</x:v>
      </x:c>
      <x:c r="I13" t="str">
        <x:v>Not started</x:v>
      </x:c>
      <x:c r="J13" s="20"/>
      <x:c r="K13" t="str"/>
      <x:c r="L13" s="22" t="str"/>
      <x:c r="M13" t="str">
        <x:v>P1</x:v>
      </x:c>
      <x:c r="N13" s="22" t="str"/>
    </x:row>
    <x:row r="14" ht="34" customHeight="1">
      <x:c r="A14" s="18" t="n">
        <x:v>46310</x:v>
      </x:c>
      <x:c r="B14" t="str">
        <x:v>W01</x:v>
      </x:c>
      <x:c r="C14" t="str">
        <x:v>Thu</x:v>
      </x:c>
      <x:c r="D14" t="str">
        <x:v>Co-founder 2</x:v>
      </x:c>
      <x:c r="E14" t="str">
        <x:v>Operations</x:v>
      </x:c>
      <x:c r="F14" t="str">
        <x:v>OPS-001</x:v>
      </x:c>
      <x:c r="G14" s="22" t="str">
        <x:v>Draft consent and data-handling checklist for discovery interviews.</x:v>
      </x:c>
      <x:c r="H14" s="20" t="n">
        <x:v>0.9</x:v>
      </x:c>
      <x:c r="I14" t="str">
        <x:v>Not started</x:v>
      </x:c>
      <x:c r="J14" s="20"/>
      <x:c r="K14" t="str"/>
      <x:c r="L14" s="22" t="str"/>
      <x:c r="M14" t="str">
        <x:v>P1</x:v>
      </x:c>
      <x:c r="N14" s="22" t="str"/>
    </x:row>
    <x:row r="15" ht="34" customHeight="1">
      <x:c r="A15" s="18" t="n">
        <x:v>46311</x:v>
      </x:c>
      <x:c r="B15" t="str">
        <x:v>W01</x:v>
      </x:c>
      <x:c r="C15" t="str">
        <x:v>Fri</x:v>
      </x:c>
      <x:c r="D15" t="str">
        <x:v>Founder / CEO</x:v>
      </x:c>
      <x:c r="E15" t="str">
        <x:v>Finance</x:v>
      </x:c>
      <x:c r="F15" t="str">
        <x:v>FIN-001</x:v>
      </x:c>
      <x:c r="G15" s="22" t="str">
        <x:v>Create development-cost ledger; approve spending ceiling and tool-subscription inventory.</x:v>
      </x:c>
      <x:c r="H15" s="20" t="n">
        <x:v>1.25</x:v>
      </x:c>
      <x:c r="I15" t="str">
        <x:v>Not started</x:v>
      </x:c>
      <x:c r="J15" s="20"/>
      <x:c r="K15" t="str"/>
      <x:c r="L15" s="22" t="str"/>
      <x:c r="M15" t="str">
        <x:v>P0</x:v>
      </x:c>
      <x:c r="N15" s="22" t="str"/>
    </x:row>
    <x:row r="16" ht="34" customHeight="1">
      <x:c r="A16" s="18" t="n">
        <x:v>46311</x:v>
      </x:c>
      <x:c r="B16" t="str">
        <x:v>W01</x:v>
      </x:c>
      <x:c r="C16" t="str">
        <x:v>Fri</x:v>
      </x:c>
      <x:c r="D16" t="str">
        <x:v>Co-founder 1</x:v>
      </x:c>
      <x:c r="E16" t="str">
        <x:v>Operations</x:v>
      </x:c>
      <x:c r="F16" t="str">
        <x:v>OPS-002</x:v>
      </x:c>
      <x:c r="G16" s="22" t="str">
        <x:v>Set GitHub issue labels, branch policy, secrets practices and sprint board.</x:v>
      </x:c>
      <x:c r="H16" s="20" t="n">
        <x:v>1.15</x:v>
      </x:c>
      <x:c r="I16" t="str">
        <x:v>Not started</x:v>
      </x:c>
      <x:c r="J16" s="20"/>
      <x:c r="K16" t="str"/>
      <x:c r="L16" s="22" t="str"/>
      <x:c r="M16" t="str">
        <x:v>P1</x:v>
      </x:c>
      <x:c r="N16" s="22" t="str"/>
    </x:row>
    <x:row r="17" ht="34" customHeight="1">
      <x:c r="A17" s="18" t="n">
        <x:v>46311</x:v>
      </x:c>
      <x:c r="B17" t="str">
        <x:v>W01</x:v>
      </x:c>
      <x:c r="C17" t="str">
        <x:v>Fri</x:v>
      </x:c>
      <x:c r="D17" t="str">
        <x:v>Co-founder 2</x:v>
      </x:c>
      <x:c r="E17" t="str">
        <x:v>Engineering QA</x:v>
      </x:c>
      <x:c r="F17" t="str">
        <x:v>QA-003</x:v>
      </x:c>
      <x:c r="G17" s="22" t="str">
        <x:v>Test current FastAPI baseline; report blockers with reproduction steps.</x:v>
      </x:c>
      <x:c r="H17" s="20" t="n">
        <x:v>1.05</x:v>
      </x:c>
      <x:c r="I17" t="str">
        <x:v>Not started</x:v>
      </x:c>
      <x:c r="J17" s="20"/>
      <x:c r="K17" t="str"/>
      <x:c r="L17" s="22" t="str"/>
      <x:c r="M17" t="str">
        <x:v>P0</x:v>
      </x:c>
      <x:c r="N17" s="22" t="str"/>
    </x:row>
    <x:row r="18" ht="34" customHeight="1">
      <x:c r="A18" s="18" t="n">
        <x:v>46314</x:v>
      </x:c>
      <x:c r="B18" t="str">
        <x:v>W01</x:v>
      </x:c>
      <x:c r="C18" t="str">
        <x:v>Mon</x:v>
      </x:c>
      <x:c r="D18" t="str">
        <x:v>Founder / CEO</x:v>
      </x:c>
      <x:c r="E18" t="str">
        <x:v>Engineering</x:v>
      </x:c>
      <x:c r="F18" t="str">
        <x:v>ENG-003</x:v>
      </x:c>
      <x:c r="G18" s="22" t="str">
        <x:v>Design core FastAPI module boundaries and synthetic invoice fixture.</x:v>
      </x:c>
      <x:c r="H18" s="20" t="n">
        <x:v>2.5</x:v>
      </x:c>
      <x:c r="I18" t="str">
        <x:v>Not started</x:v>
      </x:c>
      <x:c r="J18" s="20"/>
      <x:c r="K18" t="str"/>
      <x:c r="L18" s="22" t="str"/>
      <x:c r="M18" t="str">
        <x:v>P0</x:v>
      </x:c>
      <x:c r="N18" s="22" t="str"/>
    </x:row>
    <x:row r="19" ht="34" customHeight="1">
      <x:c r="A19" s="18" t="n">
        <x:v>46314</x:v>
      </x:c>
      <x:c r="B19" t="str">
        <x:v>W01</x:v>
      </x:c>
      <x:c r="C19" t="str">
        <x:v>Mon</x:v>
      </x:c>
      <x:c r="D19" t="str">
        <x:v>Co-founder 1</x:v>
      </x:c>
      <x:c r="E19" t="str">
        <x:v>Operations</x:v>
      </x:c>
      <x:c r="F19" t="str">
        <x:v>OPS-003</x:v>
      </x:c>
      <x:c r="G19" s="22" t="str">
        <x:v>Hold 30-minute sprint review; log risks, decisions and next owner actions.</x:v>
      </x:c>
      <x:c r="H19" s="20" t="n">
        <x:v>1.15</x:v>
      </x:c>
      <x:c r="I19" t="str">
        <x:v>Not started</x:v>
      </x:c>
      <x:c r="J19" s="20"/>
      <x:c r="K19" t="str"/>
      <x:c r="L19" s="22" t="str"/>
      <x:c r="M19" t="str">
        <x:v>P1</x:v>
      </x:c>
      <x:c r="N19" s="22" t="str"/>
    </x:row>
    <x:row r="20" ht="34" customHeight="1">
      <x:c r="A20" s="18" t="n">
        <x:v>46314</x:v>
      </x:c>
      <x:c r="B20" t="str">
        <x:v>W01</x:v>
      </x:c>
      <x:c r="C20" t="str">
        <x:v>Mon</x:v>
      </x:c>
      <x:c r="D20" t="str">
        <x:v>Co-founder 2</x:v>
      </x:c>
      <x:c r="E20" t="str">
        <x:v>Operations</x:v>
      </x:c>
      <x:c r="F20" t="str">
        <x:v>OPS-004</x:v>
      </x:c>
      <x:c r="G20" s="22" t="str">
        <x:v>Create evidence template: demo links, tests, bugs and release notes.</x:v>
      </x:c>
      <x:c r="H20" s="20" t="n">
        <x:v>0.9</x:v>
      </x:c>
      <x:c r="I20" t="str">
        <x:v>Not started</x:v>
      </x:c>
      <x:c r="J20" s="20"/>
      <x:c r="K20" t="str"/>
      <x:c r="L20" s="22" t="str"/>
      <x:c r="M20" t="str">
        <x:v>P1</x:v>
      </x:c>
      <x:c r="N20" s="22" t="str"/>
    </x:row>
    <x:row r="21" ht="34" customHeight="1">
      <x:c r="A21" s="18" t="n">
        <x:v>46315</x:v>
      </x:c>
      <x:c r="B21" t="str">
        <x:v>W02</x:v>
      </x:c>
      <x:c r="C21" t="str">
        <x:v>Tue</x:v>
      </x:c>
      <x:c r="D21" t="str">
        <x:v>Founder / CEO</x:v>
      </x:c>
      <x:c r="E21" t="str">
        <x:v>Sales</x:v>
      </x:c>
      <x:c r="F21" t="str">
        <x:v>SAL-003</x:v>
      </x:c>
      <x:c r="G21" s="22" t="str">
        <x:v>Conduct two owner interviews focused on invoice/report preparation.</x:v>
      </x:c>
      <x:c r="H21" s="20" t="n">
        <x:v>2</x:v>
      </x:c>
      <x:c r="I21" t="str">
        <x:v>Not started</x:v>
      </x:c>
      <x:c r="J21" s="20"/>
      <x:c r="K21" t="str"/>
      <x:c r="L21" s="22" t="str"/>
      <x:c r="M21" t="str">
        <x:v>P1</x:v>
      </x:c>
      <x:c r="N21" s="22" t="str"/>
    </x:row>
    <x:row r="22" ht="34" customHeight="1">
      <x:c r="A22" s="18" t="n">
        <x:v>46315</x:v>
      </x:c>
      <x:c r="B22" t="str">
        <x:v>W02</x:v>
      </x:c>
      <x:c r="C22" t="str">
        <x:v>Tue</x:v>
      </x:c>
      <x:c r="D22" t="str">
        <x:v>Co-founder 1</x:v>
      </x:c>
      <x:c r="E22" t="str">
        <x:v>Sales</x:v>
      </x:c>
      <x:c r="F22" t="str">
        <x:v>SAL-004</x:v>
      </x:c>
      <x:c r="G22" s="22" t="str">
        <x:v>Confirm interview appointments; qualify source data formats and permission.</x:v>
      </x:c>
      <x:c r="H22" s="20" t="n">
        <x:v>1</x:v>
      </x:c>
      <x:c r="I22" t="str">
        <x:v>Not started</x:v>
      </x:c>
      <x:c r="J22" s="20"/>
      <x:c r="K22" t="str"/>
      <x:c r="L22" s="22" t="str"/>
      <x:c r="M22" t="str">
        <x:v>P1</x:v>
      </x:c>
      <x:c r="N22" s="22" t="str"/>
    </x:row>
    <x:row r="23" ht="34" customHeight="1">
      <x:c r="A23" s="18" t="n">
        <x:v>46315</x:v>
      </x:c>
      <x:c r="B23" t="str">
        <x:v>W02</x:v>
      </x:c>
      <x:c r="C23" t="str">
        <x:v>Tue</x:v>
      </x:c>
      <x:c r="D23" t="str">
        <x:v>Co-founder 2</x:v>
      </x:c>
      <x:c r="E23" t="str">
        <x:v>Engineering QA</x:v>
      </x:c>
      <x:c r="F23" t="str">
        <x:v>QA-004</x:v>
      </x:c>
      <x:c r="G23" s="22" t="str">
        <x:v>Create 100-row fixture containing legitimate data and intentionally broken rows.</x:v>
      </x:c>
      <x:c r="H23" s="20" t="n">
        <x:v>1.05</x:v>
      </x:c>
      <x:c r="I23" t="str">
        <x:v>Not started</x:v>
      </x:c>
      <x:c r="J23" s="20"/>
      <x:c r="K23" t="str"/>
      <x:c r="L23" s="22" t="str"/>
      <x:c r="M23" t="str">
        <x:v>P0</x:v>
      </x:c>
      <x:c r="N23" s="22" t="str"/>
    </x:row>
    <x:row r="24" ht="34" customHeight="1">
      <x:c r="A24" s="18" t="n">
        <x:v>46316</x:v>
      </x:c>
      <x:c r="B24" t="str">
        <x:v>W02</x:v>
      </x:c>
      <x:c r="C24" t="str">
        <x:v>Wed</x:v>
      </x:c>
      <x:c r="D24" t="str">
        <x:v>Founder / CEO</x:v>
      </x:c>
      <x:c r="E24" t="str">
        <x:v>Engineering</x:v>
      </x:c>
      <x:c r="F24" t="str">
        <x:v>ENG-004</x:v>
      </x:c>
      <x:c r="G24" s="22" t="str">
        <x:v>Create file-ingestion architecture decision record and storage threat model.</x:v>
      </x:c>
      <x:c r="H24" s="20" t="n">
        <x:v>2.5</x:v>
      </x:c>
      <x:c r="I24" t="str">
        <x:v>Not started</x:v>
      </x:c>
      <x:c r="J24" s="20"/>
      <x:c r="K24" t="str"/>
      <x:c r="L24" s="22" t="str"/>
      <x:c r="M24" t="str">
        <x:v>P0</x:v>
      </x:c>
      <x:c r="N24" s="22" t="str"/>
    </x:row>
    <x:row r="25" ht="34" customHeight="1">
      <x:c r="A25" s="18" t="n">
        <x:v>46316</x:v>
      </x:c>
      <x:c r="B25" t="str">
        <x:v>W02</x:v>
      </x:c>
      <x:c r="C25" t="str">
        <x:v>Wed</x:v>
      </x:c>
      <x:c r="D25" t="str">
        <x:v>Co-founder 1</x:v>
      </x:c>
      <x:c r="E25" t="str">
        <x:v>Marketing</x:v>
      </x:c>
      <x:c r="F25" t="str">
        <x:v>MKT-003</x:v>
      </x:c>
      <x:c r="G25" s="22" t="str">
        <x:v>Summarize competitor gaps and risks in one evidence-backed page.</x:v>
      </x:c>
      <x:c r="H25" s="20" t="n">
        <x:v>1.25</x:v>
      </x:c>
      <x:c r="I25" t="str">
        <x:v>Not started</x:v>
      </x:c>
      <x:c r="J25" s="20"/>
      <x:c r="K25" t="str"/>
      <x:c r="L25" s="22" t="str"/>
      <x:c r="M25" t="str">
        <x:v>P1</x:v>
      </x:c>
      <x:c r="N25" s="22" t="str"/>
    </x:row>
    <x:row r="26" ht="34" customHeight="1">
      <x:c r="A26" s="18" t="n">
        <x:v>46316</x:v>
      </x:c>
      <x:c r="B26" t="str">
        <x:v>W02</x:v>
      </x:c>
      <x:c r="C26" t="str">
        <x:v>Wed</x:v>
      </x:c>
      <x:c r="D26" t="str">
        <x:v>Co-founder 2</x:v>
      </x:c>
      <x:c r="E26" t="str">
        <x:v>Engineering QA</x:v>
      </x:c>
      <x:c r="F26" t="str">
        <x:v>QA-005</x:v>
      </x:c>
      <x:c r="G26" s="22" t="str">
        <x:v>Specify expected validation errors and acceptance thresholds.</x:v>
      </x:c>
      <x:c r="H26" s="20" t="n">
        <x:v>1.05</x:v>
      </x:c>
      <x:c r="I26" t="str">
        <x:v>Not started</x:v>
      </x:c>
      <x:c r="J26" s="20"/>
      <x:c r="K26" t="str"/>
      <x:c r="L26" s="22" t="str"/>
      <x:c r="M26" t="str">
        <x:v>P0</x:v>
      </x:c>
      <x:c r="N26" s="22" t="str"/>
    </x:row>
    <x:row r="27" ht="34" customHeight="1">
      <x:c r="A27" s="18" t="n">
        <x:v>46317</x:v>
      </x:c>
      <x:c r="B27" t="str">
        <x:v>W02</x:v>
      </x:c>
      <x:c r="C27" t="str">
        <x:v>Thu</x:v>
      </x:c>
      <x:c r="D27" t="str">
        <x:v>Founder / CEO</x:v>
      </x:c>
      <x:c r="E27" t="str">
        <x:v>Sales</x:v>
      </x:c>
      <x:c r="F27" t="str">
        <x:v>SAL-005</x:v>
      </x:c>
      <x:c r="G27" s="22" t="str">
        <x:v>Interview two more admins/owners; observe an end-to-end monthly reporting task.</x:v>
      </x:c>
      <x:c r="H27" s="20" t="n">
        <x:v>2</x:v>
      </x:c>
      <x:c r="I27" t="str">
        <x:v>Not started</x:v>
      </x:c>
      <x:c r="J27" s="20"/>
      <x:c r="K27" t="str"/>
      <x:c r="L27" s="22" t="str"/>
      <x:c r="M27" t="str">
        <x:v>P1</x:v>
      </x:c>
      <x:c r="N27" s="22" t="str"/>
    </x:row>
    <x:row r="28" ht="34" customHeight="1">
      <x:c r="A28" s="18" t="n">
        <x:v>46317</x:v>
      </x:c>
      <x:c r="B28" t="str">
        <x:v>W02</x:v>
      </x:c>
      <x:c r="C28" t="str">
        <x:v>Thu</x:v>
      </x:c>
      <x:c r="D28" t="str">
        <x:v>Co-founder 1</x:v>
      </x:c>
      <x:c r="E28" t="str">
        <x:v>Sales</x:v>
      </x:c>
      <x:c r="F28" t="str">
        <x:v>SAL-006</x:v>
      </x:c>
      <x:c r="G28" s="22" t="str">
        <x:v>Recruit two prospective design partners; record actual success criteria.</x:v>
      </x:c>
      <x:c r="H28" s="20" t="n">
        <x:v>1</x:v>
      </x:c>
      <x:c r="I28" t="str">
        <x:v>Not started</x:v>
      </x:c>
      <x:c r="J28" s="20"/>
      <x:c r="K28" t="str"/>
      <x:c r="L28" s="22" t="str"/>
      <x:c r="M28" t="str">
        <x:v>P1</x:v>
      </x:c>
      <x:c r="N28" s="22" t="str"/>
    </x:row>
    <x:row r="29" ht="34" customHeight="1">
      <x:c r="A29" s="18" t="n">
        <x:v>46317</x:v>
      </x:c>
      <x:c r="B29" t="str">
        <x:v>W02</x:v>
      </x:c>
      <x:c r="C29" t="str">
        <x:v>Thu</x:v>
      </x:c>
      <x:c r="D29" t="str">
        <x:v>Co-founder 2</x:v>
      </x:c>
      <x:c r="E29" t="str">
        <x:v>Operations</x:v>
      </x:c>
      <x:c r="F29" t="str">
        <x:v>OPS-005</x:v>
      </x:c>
      <x:c r="G29" s="22" t="str">
        <x:v>Document confidential-data handling and anonymization for pilot fixtures.</x:v>
      </x:c>
      <x:c r="H29" s="20" t="n">
        <x:v>0.9</x:v>
      </x:c>
      <x:c r="I29" t="str">
        <x:v>Not started</x:v>
      </x:c>
      <x:c r="J29" s="20"/>
      <x:c r="K29" t="str"/>
      <x:c r="L29" s="22" t="str"/>
      <x:c r="M29" t="str">
        <x:v>P1</x:v>
      </x:c>
      <x:c r="N29" s="22" t="str"/>
    </x:row>
    <x:row r="30" ht="34" customHeight="1">
      <x:c r="A30" s="18" t="n">
        <x:v>46318</x:v>
      </x:c>
      <x:c r="B30" t="str">
        <x:v>W02</x:v>
      </x:c>
      <x:c r="C30" t="str">
        <x:v>Fri</x:v>
      </x:c>
      <x:c r="D30" t="str">
        <x:v>Founder / CEO</x:v>
      </x:c>
      <x:c r="E30" t="str">
        <x:v>Finance</x:v>
      </x:c>
      <x:c r="F30" t="str">
        <x:v>FIN-002</x:v>
      </x:c>
      <x:c r="G30" s="22" t="str">
        <x:v>Set AI API spending caps and estimate two workload profiles for uploads.</x:v>
      </x:c>
      <x:c r="H30" s="20" t="n">
        <x:v>1.25</x:v>
      </x:c>
      <x:c r="I30" t="str">
        <x:v>Not started</x:v>
      </x:c>
      <x:c r="J30" s="20"/>
      <x:c r="K30" t="str"/>
      <x:c r="L30" s="22" t="str"/>
      <x:c r="M30" t="str">
        <x:v>P0</x:v>
      </x:c>
      <x:c r="N30" s="22" t="str"/>
    </x:row>
    <x:row r="31" ht="34" customHeight="1">
      <x:c r="A31" s="18" t="n">
        <x:v>46318</x:v>
      </x:c>
      <x:c r="B31" t="str">
        <x:v>W02</x:v>
      </x:c>
      <x:c r="C31" t="str">
        <x:v>Fri</x:v>
      </x:c>
      <x:c r="D31" t="str">
        <x:v>Co-founder 1</x:v>
      </x:c>
      <x:c r="E31" t="str">
        <x:v>Marketing</x:v>
      </x:c>
      <x:c r="F31" t="str">
        <x:v>MKT-004</x:v>
      </x:c>
      <x:c r="G31" s="22" t="str">
        <x:v>Write one-page value proposition without claiming finished AI features.</x:v>
      </x:c>
      <x:c r="H31" s="20" t="n">
        <x:v>1.25</x:v>
      </x:c>
      <x:c r="I31" t="str">
        <x:v>Not started</x:v>
      </x:c>
      <x:c r="J31" s="20"/>
      <x:c r="K31" t="str"/>
      <x:c r="L31" s="22" t="str"/>
      <x:c r="M31" t="str">
        <x:v>P1</x:v>
      </x:c>
      <x:c r="N31" s="22" t="str"/>
    </x:row>
    <x:row r="32" ht="34" customHeight="1">
      <x:c r="A32" s="18" t="n">
        <x:v>46318</x:v>
      </x:c>
      <x:c r="B32" t="str">
        <x:v>W02</x:v>
      </x:c>
      <x:c r="C32" t="str">
        <x:v>Fri</x:v>
      </x:c>
      <x:c r="D32" t="str">
        <x:v>Co-founder 2</x:v>
      </x:c>
      <x:c r="E32" t="str">
        <x:v>Engineering QA</x:v>
      </x:c>
      <x:c r="F32" t="str">
        <x:v>QA-006</x:v>
      </x:c>
      <x:c r="G32" s="22" t="str">
        <x:v>Review file-parser edge cases and devise fuzz/invalid upload tests.</x:v>
      </x:c>
      <x:c r="H32" s="20" t="n">
        <x:v>1.05</x:v>
      </x:c>
      <x:c r="I32" t="str">
        <x:v>Not started</x:v>
      </x:c>
      <x:c r="J32" s="20"/>
      <x:c r="K32" t="str"/>
      <x:c r="L32" s="22" t="str"/>
      <x:c r="M32" t="str">
        <x:v>P0</x:v>
      </x:c>
      <x:c r="N32" s="22" t="str"/>
    </x:row>
    <x:row r="33" ht="34" customHeight="1">
      <x:c r="A33" s="18" t="n">
        <x:v>46321</x:v>
      </x:c>
      <x:c r="B33" t="str">
        <x:v>W02</x:v>
      </x:c>
      <x:c r="C33" t="str">
        <x:v>Mon</x:v>
      </x:c>
      <x:c r="D33" t="str">
        <x:v>Founder / CEO</x:v>
      </x:c>
      <x:c r="E33" t="str">
        <x:v>Engineering</x:v>
      </x:c>
      <x:c r="F33" t="str">
        <x:v>ENG-005</x:v>
      </x:c>
      <x:c r="G33" s="22" t="str">
        <x:v>Approve v1 data schema, file limits, upload status transitions and P0 scope.</x:v>
      </x:c>
      <x:c r="H33" s="20" t="n">
        <x:v>2.5</x:v>
      </x:c>
      <x:c r="I33" t="str">
        <x:v>Not started</x:v>
      </x:c>
      <x:c r="J33" s="20"/>
      <x:c r="K33" t="str"/>
      <x:c r="L33" s="22" t="str"/>
      <x:c r="M33" t="str">
        <x:v>P0</x:v>
      </x:c>
      <x:c r="N33" s="22" t="str"/>
    </x:row>
    <x:row r="34" ht="34" customHeight="1">
      <x:c r="A34" s="18" t="n">
        <x:v>46321</x:v>
      </x:c>
      <x:c r="B34" t="str">
        <x:v>W02</x:v>
      </x:c>
      <x:c r="C34" t="str">
        <x:v>Mon</x:v>
      </x:c>
      <x:c r="D34" t="str">
        <x:v>Co-founder 1</x:v>
      </x:c>
      <x:c r="E34" t="str">
        <x:v>Operations</x:v>
      </x:c>
      <x:c r="F34" t="str">
        <x:v>OPS-006</x:v>
      </x:c>
      <x:c r="G34" s="22" t="str">
        <x:v>Review discovery board and schedule next-week engineering dependencies.</x:v>
      </x:c>
      <x:c r="H34" s="20" t="n">
        <x:v>1.15</x:v>
      </x:c>
      <x:c r="I34" t="str">
        <x:v>Not started</x:v>
      </x:c>
      <x:c r="J34" s="20"/>
      <x:c r="K34" t="str"/>
      <x:c r="L34" s="22" t="str"/>
      <x:c r="M34" t="str">
        <x:v>P1</x:v>
      </x:c>
      <x:c r="N34" s="22" t="str"/>
    </x:row>
    <x:row r="35" ht="34" customHeight="1">
      <x:c r="A35" s="18" t="n">
        <x:v>46321</x:v>
      </x:c>
      <x:c r="B35" t="str">
        <x:v>W02</x:v>
      </x:c>
      <x:c r="C35" t="str">
        <x:v>Mon</x:v>
      </x:c>
      <x:c r="D35" t="str">
        <x:v>Co-founder 2</x:v>
      </x:c>
      <x:c r="E35" t="str">
        <x:v>Operations</x:v>
      </x:c>
      <x:c r="F35" t="str">
        <x:v>OPS-007</x:v>
      </x:c>
      <x:c r="G35" s="22" t="str">
        <x:v>Consolidate interview evidence and identify unsupported assumptions.</x:v>
      </x:c>
      <x:c r="H35" s="20" t="n">
        <x:v>0.9</x:v>
      </x:c>
      <x:c r="I35" t="str">
        <x:v>Not started</x:v>
      </x:c>
      <x:c r="J35" s="20"/>
      <x:c r="K35" t="str"/>
      <x:c r="L35" s="22" t="str"/>
      <x:c r="M35" t="str">
        <x:v>P1</x:v>
      </x:c>
      <x:c r="N35" s="22" t="str"/>
    </x:row>
    <x:row r="36" ht="34" customHeight="1">
      <x:c r="A36" s="18" t="n">
        <x:v>46322</x:v>
      </x:c>
      <x:c r="B36" t="str">
        <x:v>W03</x:v>
      </x:c>
      <x:c r="C36" t="str">
        <x:v>Tue</x:v>
      </x:c>
      <x:c r="D36" t="str">
        <x:v>Founder / CEO</x:v>
      </x:c>
      <x:c r="E36" t="str">
        <x:v>Engineering</x:v>
      </x:c>
      <x:c r="F36" t="str">
        <x:v>ENG-006</x:v>
      </x:c>
      <x:c r="G36" s="22" t="str">
        <x:v>Implement tenant-scoped upload endpoint with file type/size checks.</x:v>
      </x:c>
      <x:c r="H36" s="20" t="n">
        <x:v>2.5</x:v>
      </x:c>
      <x:c r="I36" t="str">
        <x:v>Not started</x:v>
      </x:c>
      <x:c r="J36" s="20"/>
      <x:c r="K36" t="str"/>
      <x:c r="L36" s="22" t="str"/>
      <x:c r="M36" t="str">
        <x:v>P0</x:v>
      </x:c>
      <x:c r="N36" s="22" t="str"/>
    </x:row>
    <x:row r="37" ht="34" customHeight="1">
      <x:c r="A37" s="18" t="n">
        <x:v>46322</x:v>
      </x:c>
      <x:c r="B37" t="str">
        <x:v>W03</x:v>
      </x:c>
      <x:c r="C37" t="str">
        <x:v>Tue</x:v>
      </x:c>
      <x:c r="D37" t="str">
        <x:v>Co-founder 1</x:v>
      </x:c>
      <x:c r="E37" t="str">
        <x:v>Marketing</x:v>
      </x:c>
      <x:c r="F37" t="str">
        <x:v>MKT-005</x:v>
      </x:c>
      <x:c r="G37" s="22" t="str">
        <x:v>Publish educational post on spreadsheet fragmentation; invite discovery.</x:v>
      </x:c>
      <x:c r="H37" s="20" t="n">
        <x:v>1.25</x:v>
      </x:c>
      <x:c r="I37" t="str">
        <x:v>Not started</x:v>
      </x:c>
      <x:c r="J37" s="20"/>
      <x:c r="K37" t="str"/>
      <x:c r="L37" s="22" t="str"/>
      <x:c r="M37" t="str">
        <x:v>P1</x:v>
      </x:c>
      <x:c r="N37" s="22" t="str"/>
    </x:row>
    <x:row r="38" ht="34" customHeight="1">
      <x:c r="A38" s="18" t="n">
        <x:v>46322</x:v>
      </x:c>
      <x:c r="B38" t="str">
        <x:v>W03</x:v>
      </x:c>
      <x:c r="C38" t="str">
        <x:v>Tue</x:v>
      </x:c>
      <x:c r="D38" t="str">
        <x:v>Co-founder 2</x:v>
      </x:c>
      <x:c r="E38" t="str">
        <x:v>Engineering QA</x:v>
      </x:c>
      <x:c r="F38" t="str">
        <x:v>QA-007</x:v>
      </x:c>
      <x:c r="G38" s="22" t="str">
        <x:v>Test invalid file types, huge files and untrusted filenames.</x:v>
      </x:c>
      <x:c r="H38" s="20" t="n">
        <x:v>1.05</x:v>
      </x:c>
      <x:c r="I38" t="str">
        <x:v>Not started</x:v>
      </x:c>
      <x:c r="J38" s="20"/>
      <x:c r="K38" t="str"/>
      <x:c r="L38" s="22" t="str"/>
      <x:c r="M38" t="str">
        <x:v>P0</x:v>
      </x:c>
      <x:c r="N38" s="22" t="str"/>
    </x:row>
    <x:row r="39" ht="34" customHeight="1">
      <x:c r="A39" s="18" t="n">
        <x:v>46323</x:v>
      </x:c>
      <x:c r="B39" t="str">
        <x:v>W03</x:v>
      </x:c>
      <x:c r="C39" t="str">
        <x:v>Wed</x:v>
      </x:c>
      <x:c r="D39" t="str">
        <x:v>Founder / CEO</x:v>
      </x:c>
      <x:c r="E39" t="str">
        <x:v>Engineering</x:v>
      </x:c>
      <x:c r="F39" t="str">
        <x:v>ENG-007</x:v>
      </x:c>
      <x:c r="G39" s="22" t="str">
        <x:v>Implement object storage adapter and upload/parse job status records.</x:v>
      </x:c>
      <x:c r="H39" s="20" t="n">
        <x:v>2.5</x:v>
      </x:c>
      <x:c r="I39" t="str">
        <x:v>Not started</x:v>
      </x:c>
      <x:c r="J39" s="20"/>
      <x:c r="K39" t="str"/>
      <x:c r="L39" s="22" t="str"/>
      <x:c r="M39" t="str">
        <x:v>P0</x:v>
      </x:c>
      <x:c r="N39" s="22" t="str"/>
    </x:row>
    <x:row r="40" ht="34" customHeight="1">
      <x:c r="A40" s="18" t="n">
        <x:v>46323</x:v>
      </x:c>
      <x:c r="B40" t="str">
        <x:v>W03</x:v>
      </x:c>
      <x:c r="C40" t="str">
        <x:v>Wed</x:v>
      </x:c>
      <x:c r="D40" t="str">
        <x:v>Co-founder 1</x:v>
      </x:c>
      <x:c r="E40" t="str">
        <x:v>Operations</x:v>
      </x:c>
      <x:c r="F40" t="str">
        <x:v>OPS-008</x:v>
      </x:c>
      <x:c r="G40" s="22" t="str">
        <x:v>Configure staging secrets, storage access and deployment rollback plan.</x:v>
      </x:c>
      <x:c r="H40" s="20" t="n">
        <x:v>1.15</x:v>
      </x:c>
      <x:c r="I40" t="str">
        <x:v>Not started</x:v>
      </x:c>
      <x:c r="J40" s="20"/>
      <x:c r="K40" t="str"/>
      <x:c r="L40" s="22" t="str"/>
      <x:c r="M40" t="str">
        <x:v>P1</x:v>
      </x:c>
      <x:c r="N40" s="22" t="str"/>
    </x:row>
    <x:row r="41" ht="34" customHeight="1">
      <x:c r="A41" s="18" t="n">
        <x:v>46323</x:v>
      </x:c>
      <x:c r="B41" t="str">
        <x:v>W03</x:v>
      </x:c>
      <x:c r="C41" t="str">
        <x:v>Wed</x:v>
      </x:c>
      <x:c r="D41" t="str">
        <x:v>Co-founder 2</x:v>
      </x:c>
      <x:c r="E41" t="str">
        <x:v>Engineering QA</x:v>
      </x:c>
      <x:c r="F41" t="str">
        <x:v>QA-008</x:v>
      </x:c>
      <x:c r="G41" s="22" t="str">
        <x:v>Test cross-tenant access to uploads and job status.</x:v>
      </x:c>
      <x:c r="H41" s="20" t="n">
        <x:v>1.05</x:v>
      </x:c>
      <x:c r="I41" t="str">
        <x:v>Not started</x:v>
      </x:c>
      <x:c r="J41" s="20"/>
      <x:c r="K41" t="str"/>
      <x:c r="L41" s="22" t="str"/>
      <x:c r="M41" t="str">
        <x:v>P0</x:v>
      </x:c>
      <x:c r="N41" s="22" t="str"/>
    </x:row>
    <x:row r="42" ht="34" customHeight="1">
      <x:c r="A42" s="18" t="n">
        <x:v>46324</x:v>
      </x:c>
      <x:c r="B42" t="str">
        <x:v>W03</x:v>
      </x:c>
      <x:c r="C42" t="str">
        <x:v>Thu</x:v>
      </x:c>
      <x:c r="D42" t="str">
        <x:v>Founder / CEO</x:v>
      </x:c>
      <x:c r="E42" t="str">
        <x:v>Engineering</x:v>
      </x:c>
      <x:c r="F42" t="str">
        <x:v>ENG-008</x:v>
      </x:c>
      <x:c r="G42" s="22" t="str">
        <x:v>Build CSV parser, validation errors and normalized row storage.</x:v>
      </x:c>
      <x:c r="H42" s="20" t="n">
        <x:v>2.5</x:v>
      </x:c>
      <x:c r="I42" t="str">
        <x:v>Not started</x:v>
      </x:c>
      <x:c r="J42" s="20"/>
      <x:c r="K42" t="str"/>
      <x:c r="L42" s="22" t="str"/>
      <x:c r="M42" t="str">
        <x:v>P0</x:v>
      </x:c>
      <x:c r="N42" s="22" t="str"/>
    </x:row>
    <x:row r="43" ht="34" customHeight="1">
      <x:c r="A43" s="18" t="n">
        <x:v>46324</x:v>
      </x:c>
      <x:c r="B43" t="str">
        <x:v>W03</x:v>
      </x:c>
      <x:c r="C43" t="str">
        <x:v>Thu</x:v>
      </x:c>
      <x:c r="D43" t="str">
        <x:v>Co-founder 1</x:v>
      </x:c>
      <x:c r="E43" t="str">
        <x:v>Sales</x:v>
      </x:c>
      <x:c r="F43" t="str">
        <x:v>SAL-007</x:v>
      </x:c>
      <x:c r="G43" s="22" t="str">
        <x:v>Follow up with the two highest-fit businesses; request authorized sample schema.</x:v>
      </x:c>
      <x:c r="H43" s="20" t="n">
        <x:v>1</x:v>
      </x:c>
      <x:c r="I43" t="str">
        <x:v>Not started</x:v>
      </x:c>
      <x:c r="J43" s="20"/>
      <x:c r="K43" t="str"/>
      <x:c r="L43" s="22" t="str"/>
      <x:c r="M43" t="str">
        <x:v>P1</x:v>
      </x:c>
      <x:c r="N43" s="22" t="str"/>
    </x:row>
    <x:row r="44" ht="34" customHeight="1">
      <x:c r="A44" s="18" t="n">
        <x:v>46324</x:v>
      </x:c>
      <x:c r="B44" t="str">
        <x:v>W03</x:v>
      </x:c>
      <x:c r="C44" t="str">
        <x:v>Thu</x:v>
      </x:c>
      <x:c r="D44" t="str">
        <x:v>Co-founder 2</x:v>
      </x:c>
      <x:c r="E44" t="str">
        <x:v>Engineering QA</x:v>
      </x:c>
      <x:c r="F44" t="str">
        <x:v>QA-009</x:v>
      </x:c>
      <x:c r="G44" s="22" t="str">
        <x:v>Verify CSV row counts, duplicate flags and decimal/date handling.</x:v>
      </x:c>
      <x:c r="H44" s="20" t="n">
        <x:v>1.05</x:v>
      </x:c>
      <x:c r="I44" t="str">
        <x:v>Not started</x:v>
      </x:c>
      <x:c r="J44" s="20"/>
      <x:c r="K44" t="str"/>
      <x:c r="L44" s="22" t="str"/>
      <x:c r="M44" t="str">
        <x:v>P0</x:v>
      </x:c>
      <x:c r="N44" s="22" t="str"/>
    </x:row>
    <x:row r="45" ht="34" customHeight="1">
      <x:c r="A45" s="18" t="n">
        <x:v>46325</x:v>
      </x:c>
      <x:c r="B45" t="str">
        <x:v>W03</x:v>
      </x:c>
      <x:c r="C45" t="str">
        <x:v>Fri</x:v>
      </x:c>
      <x:c r="D45" t="str">
        <x:v>Founder / CEO</x:v>
      </x:c>
      <x:c r="E45" t="str">
        <x:v>Sales</x:v>
      </x:c>
      <x:c r="F45" t="str">
        <x:v>SAL-008</x:v>
      </x:c>
      <x:c r="G45" s="22" t="str">
        <x:v>Demo a static example to prospects and ask what output they need most.</x:v>
      </x:c>
      <x:c r="H45" s="20" t="n">
        <x:v>2</x:v>
      </x:c>
      <x:c r="I45" t="str">
        <x:v>Not started</x:v>
      </x:c>
      <x:c r="J45" s="20"/>
      <x:c r="K45" t="str"/>
      <x:c r="L45" s="22" t="str"/>
      <x:c r="M45" t="str">
        <x:v>P1</x:v>
      </x:c>
      <x:c r="N45" s="22" t="str"/>
    </x:row>
    <x:row r="46" ht="34" customHeight="1">
      <x:c r="A46" s="18" t="n">
        <x:v>46325</x:v>
      </x:c>
      <x:c r="B46" t="str">
        <x:v>W03</x:v>
      </x:c>
      <x:c r="C46" t="str">
        <x:v>Fri</x:v>
      </x:c>
      <x:c r="D46" t="str">
        <x:v>Co-founder 1</x:v>
      </x:c>
      <x:c r="E46" t="str">
        <x:v>Marketing</x:v>
      </x:c>
      <x:c r="F46" t="str">
        <x:v>MKT-006</x:v>
      </x:c>
      <x:c r="G46" s="22" t="str">
        <x:v>Write problem/solution story using only validated interview language.</x:v>
      </x:c>
      <x:c r="H46" s="20" t="n">
        <x:v>1.25</x:v>
      </x:c>
      <x:c r="I46" t="str">
        <x:v>Not started</x:v>
      </x:c>
      <x:c r="J46" s="20"/>
      <x:c r="K46" t="str"/>
      <x:c r="L46" s="22" t="str"/>
      <x:c r="M46" t="str">
        <x:v>P1</x:v>
      </x:c>
      <x:c r="N46" s="22" t="str"/>
    </x:row>
    <x:row r="47" ht="34" customHeight="1">
      <x:c r="A47" s="18" t="n">
        <x:v>46325</x:v>
      </x:c>
      <x:c r="B47" t="str">
        <x:v>W03</x:v>
      </x:c>
      <x:c r="C47" t="str">
        <x:v>Fri</x:v>
      </x:c>
      <x:c r="D47" t="str">
        <x:v>Co-founder 2</x:v>
      </x:c>
      <x:c r="E47" t="str">
        <x:v>Operations</x:v>
      </x:c>
      <x:c r="F47" t="str">
        <x:v>OPS-009</x:v>
      </x:c>
      <x:c r="G47" s="22" t="str">
        <x:v>Document staging deployment and failure-recovery steps.</x:v>
      </x:c>
      <x:c r="H47" s="20" t="n">
        <x:v>0.9</x:v>
      </x:c>
      <x:c r="I47" t="str">
        <x:v>Not started</x:v>
      </x:c>
      <x:c r="J47" s="20"/>
      <x:c r="K47" t="str"/>
      <x:c r="L47" s="22" t="str"/>
      <x:c r="M47" t="str">
        <x:v>P1</x:v>
      </x:c>
      <x:c r="N47" s="22" t="str"/>
    </x:row>
    <x:row r="48" ht="34" customHeight="1">
      <x:c r="A48" s="18" t="n">
        <x:v>46328</x:v>
      </x:c>
      <x:c r="B48" t="str">
        <x:v>W03</x:v>
      </x:c>
      <x:c r="C48" t="str">
        <x:v>Mon</x:v>
      </x:c>
      <x:c r="D48" t="str">
        <x:v>Founder / CEO</x:v>
      </x:c>
      <x:c r="E48" t="str">
        <x:v>Finance</x:v>
      </x:c>
      <x:c r="F48" t="str">
        <x:v>FIN-003</x:v>
      </x:c>
      <x:c r="G48" s="22" t="str">
        <x:v>Record actual storage, hosting and API tests; update cost per test upload.</x:v>
      </x:c>
      <x:c r="H48" s="20" t="n">
        <x:v>1.25</x:v>
      </x:c>
      <x:c r="I48" t="str">
        <x:v>Not started</x:v>
      </x:c>
      <x:c r="J48" s="20"/>
      <x:c r="K48" t="str"/>
      <x:c r="L48" s="22" t="str"/>
      <x:c r="M48" t="str">
        <x:v>P1</x:v>
      </x:c>
      <x:c r="N48" s="22" t="str">
        <x:v>Possible public holiday — flexible / no external deadline</x:v>
      </x:c>
    </x:row>
    <x:row r="49" ht="34" customHeight="1">
      <x:c r="A49" s="18" t="n">
        <x:v>46328</x:v>
      </x:c>
      <x:c r="B49" t="str">
        <x:v>W03</x:v>
      </x:c>
      <x:c r="C49" t="str">
        <x:v>Mon</x:v>
      </x:c>
      <x:c r="D49" t="str">
        <x:v>Co-founder 1</x:v>
      </x:c>
      <x:c r="E49" t="str">
        <x:v>Operations</x:v>
      </x:c>
      <x:c r="F49" t="str">
        <x:v>OPS-010</x:v>
      </x:c>
      <x:c r="G49" s="22" t="str">
        <x:v>Run staging health check and document access permissions.</x:v>
      </x:c>
      <x:c r="H49" s="20" t="n">
        <x:v>1.15</x:v>
      </x:c>
      <x:c r="I49" t="str">
        <x:v>Not started</x:v>
      </x:c>
      <x:c r="J49" s="20"/>
      <x:c r="K49" t="str"/>
      <x:c r="L49" s="22" t="str"/>
      <x:c r="M49" t="str">
        <x:v>P1</x:v>
      </x:c>
      <x:c r="N49" s="22" t="str">
        <x:v>Possible public holiday — flexible / no external deadline</x:v>
      </x:c>
    </x:row>
    <x:row r="50" ht="34" customHeight="1">
      <x:c r="A50" s="18" t="n">
        <x:v>46328</x:v>
      </x:c>
      <x:c r="B50" t="str">
        <x:v>W03</x:v>
      </x:c>
      <x:c r="C50" t="str">
        <x:v>Mon</x:v>
      </x:c>
      <x:c r="D50" t="str">
        <x:v>Co-founder 2</x:v>
      </x:c>
      <x:c r="E50" t="str">
        <x:v>Engineering QA</x:v>
      </x:c>
      <x:c r="F50" t="str">
        <x:v>QA-010</x:v>
      </x:c>
      <x:c r="G50" s="22" t="str">
        <x:v>Run release checklist; log P0 issues and reproducible tests.</x:v>
      </x:c>
      <x:c r="H50" s="20" t="n">
        <x:v>1.05</x:v>
      </x:c>
      <x:c r="I50" t="str">
        <x:v>Not started</x:v>
      </x:c>
      <x:c r="J50" s="20"/>
      <x:c r="K50" t="str"/>
      <x:c r="L50" s="22" t="str"/>
      <x:c r="M50" t="str">
        <x:v>P0</x:v>
      </x:c>
      <x:c r="N50" s="22" t="str">
        <x:v>Possible public holiday — flexible / no external deadline</x:v>
      </x:c>
    </x:row>
    <x:row r="51" ht="34" customHeight="1">
      <x:c r="A51" s="18" t="n">
        <x:v>46329</x:v>
      </x:c>
      <x:c r="B51" t="str">
        <x:v>W04</x:v>
      </x:c>
      <x:c r="C51" t="str">
        <x:v>Tue</x:v>
      </x:c>
      <x:c r="D51" t="str">
        <x:v>Founder / CEO</x:v>
      </x:c>
      <x:c r="E51" t="str">
        <x:v>Engineering</x:v>
      </x:c>
      <x:c r="F51" t="str">
        <x:v>ENG-009</x:v>
      </x:c>
      <x:c r="G51" s="22" t="str">
        <x:v>Implement XLSX worksheet detection and safe parser boundaries.</x:v>
      </x:c>
      <x:c r="H51" s="20" t="n">
        <x:v>2.5</x:v>
      </x:c>
      <x:c r="I51" t="str">
        <x:v>Not started</x:v>
      </x:c>
      <x:c r="J51" s="20"/>
      <x:c r="K51" t="str"/>
      <x:c r="L51" s="22" t="str"/>
      <x:c r="M51" t="str">
        <x:v>P0</x:v>
      </x:c>
      <x:c r="N51" s="22" t="str"/>
    </x:row>
    <x:row r="52" ht="34" customHeight="1">
      <x:c r="A52" s="18" t="n">
        <x:v>46329</x:v>
      </x:c>
      <x:c r="B52" t="str">
        <x:v>W04</x:v>
      </x:c>
      <x:c r="C52" t="str">
        <x:v>Tue</x:v>
      </x:c>
      <x:c r="D52" t="str">
        <x:v>Co-founder 1</x:v>
      </x:c>
      <x:c r="E52" t="str">
        <x:v>Marketing</x:v>
      </x:c>
      <x:c r="F52" t="str">
        <x:v>MKT-007</x:v>
      </x:c>
      <x:c r="G52" s="22" t="str">
        <x:v>Create landing page wireframe with problem-first copy and signup.</x:v>
      </x:c>
      <x:c r="H52" s="20" t="n">
        <x:v>1.25</x:v>
      </x:c>
      <x:c r="I52" t="str">
        <x:v>Not started</x:v>
      </x:c>
      <x:c r="J52" s="20"/>
      <x:c r="K52" t="str"/>
      <x:c r="L52" s="22" t="str"/>
      <x:c r="M52" t="str">
        <x:v>P1</x:v>
      </x:c>
      <x:c r="N52" s="22" t="str"/>
    </x:row>
    <x:row r="53" ht="34" customHeight="1">
      <x:c r="A53" s="18" t="n">
        <x:v>46329</x:v>
      </x:c>
      <x:c r="B53" t="str">
        <x:v>W04</x:v>
      </x:c>
      <x:c r="C53" t="str">
        <x:v>Tue</x:v>
      </x:c>
      <x:c r="D53" t="str">
        <x:v>Co-founder 2</x:v>
      </x:c>
      <x:c r="E53" t="str">
        <x:v>Engineering QA</x:v>
      </x:c>
      <x:c r="F53" t="str">
        <x:v>QA-011</x:v>
      </x:c>
      <x:c r="G53" s="22" t="str">
        <x:v>Test malformed XLSX, hidden sheets, formula cells and unsupported formats.</x:v>
      </x:c>
      <x:c r="H53" s="20" t="n">
        <x:v>1.05</x:v>
      </x:c>
      <x:c r="I53" t="str">
        <x:v>Not started</x:v>
      </x:c>
      <x:c r="J53" s="20"/>
      <x:c r="K53" t="str"/>
      <x:c r="L53" s="22" t="str"/>
      <x:c r="M53" t="str">
        <x:v>P0</x:v>
      </x:c>
      <x:c r="N53" s="22" t="str"/>
    </x:row>
    <x:row r="54" ht="34" customHeight="1">
      <x:c r="A54" s="18" t="n">
        <x:v>46330</x:v>
      </x:c>
      <x:c r="B54" t="str">
        <x:v>W04</x:v>
      </x:c>
      <x:c r="C54" t="str">
        <x:v>Wed</x:v>
      </x:c>
      <x:c r="D54" t="str">
        <x:v>Founder / CEO</x:v>
      </x:c>
      <x:c r="E54" t="str">
        <x:v>Engineering</x:v>
      </x:c>
      <x:c r="F54" t="str">
        <x:v>ENG-010</x:v>
      </x:c>
      <x:c r="G54" s="22" t="str">
        <x:v>Add schema inference and editable column-mapping proposal.</x:v>
      </x:c>
      <x:c r="H54" s="20" t="n">
        <x:v>2.5</x:v>
      </x:c>
      <x:c r="I54" t="str">
        <x:v>Not started</x:v>
      </x:c>
      <x:c r="J54" s="20"/>
      <x:c r="K54" t="str"/>
      <x:c r="L54" s="22" t="str"/>
      <x:c r="M54" t="str">
        <x:v>P0</x:v>
      </x:c>
      <x:c r="N54" s="22" t="str"/>
    </x:row>
    <x:row r="55" ht="34" customHeight="1">
      <x:c r="A55" s="18" t="n">
        <x:v>46330</x:v>
      </x:c>
      <x:c r="B55" t="str">
        <x:v>W04</x:v>
      </x:c>
      <x:c r="C55" t="str">
        <x:v>Wed</x:v>
      </x:c>
      <x:c r="D55" t="str">
        <x:v>Co-founder 1</x:v>
      </x:c>
      <x:c r="E55" t="str">
        <x:v>Sales</x:v>
      </x:c>
      <x:c r="F55" t="str">
        <x:v>SAL-009</x:v>
      </x:c>
      <x:c r="G55" s="22" t="str">
        <x:v>Secure written nonbinding trial interest or concrete demo appointment.</x:v>
      </x:c>
      <x:c r="H55" s="20" t="n">
        <x:v>1</x:v>
      </x:c>
      <x:c r="I55" t="str">
        <x:v>Not started</x:v>
      </x:c>
      <x:c r="J55" s="20"/>
      <x:c r="K55" t="str"/>
      <x:c r="L55" s="22" t="str"/>
      <x:c r="M55" t="str">
        <x:v>P1</x:v>
      </x:c>
      <x:c r="N55" s="22" t="str"/>
    </x:row>
    <x:row r="56" ht="34" customHeight="1">
      <x:c r="A56" s="18" t="n">
        <x:v>46330</x:v>
      </x:c>
      <x:c r="B56" t="str">
        <x:v>W04</x:v>
      </x:c>
      <x:c r="C56" t="str">
        <x:v>Wed</x:v>
      </x:c>
      <x:c r="D56" t="str">
        <x:v>Co-founder 2</x:v>
      </x:c>
      <x:c r="E56" t="str">
        <x:v>Engineering QA</x:v>
      </x:c>
      <x:c r="F56" t="str">
        <x:v>QA-012</x:v>
      </x:c>
      <x:c r="G56" s="22" t="str">
        <x:v>Verify mapping changes preserve source column references.</x:v>
      </x:c>
      <x:c r="H56" s="20" t="n">
        <x:v>1.05</x:v>
      </x:c>
      <x:c r="I56" t="str">
        <x:v>Not started</x:v>
      </x:c>
      <x:c r="J56" s="20"/>
      <x:c r="K56" t="str"/>
      <x:c r="L56" s="22" t="str"/>
      <x:c r="M56" t="str">
        <x:v>P0</x:v>
      </x:c>
      <x:c r="N56" s="22" t="str"/>
    </x:row>
    <x:row r="57" ht="34" customHeight="1">
      <x:c r="A57" s="18" t="n">
        <x:v>46331</x:v>
      </x:c>
      <x:c r="B57" t="str">
        <x:v>W04</x:v>
      </x:c>
      <x:c r="C57" t="str">
        <x:v>Thu</x:v>
      </x:c>
      <x:c r="D57" t="str">
        <x:v>Founder / CEO</x:v>
      </x:c>
      <x:c r="E57" t="str">
        <x:v>Sales</x:v>
      </x:c>
      <x:c r="F57" t="str">
        <x:v>SAL-010</x:v>
      </x:c>
      <x:c r="G57" s="22" t="str">
        <x:v>Walk one proposed workflow with a design partner; record missing fields.</x:v>
      </x:c>
      <x:c r="H57" s="20" t="n">
        <x:v>2</x:v>
      </x:c>
      <x:c r="I57" t="str">
        <x:v>Not started</x:v>
      </x:c>
      <x:c r="J57" s="20"/>
      <x:c r="K57" t="str"/>
      <x:c r="L57" s="22" t="str"/>
      <x:c r="M57" t="str">
        <x:v>P1</x:v>
      </x:c>
      <x:c r="N57" s="22" t="str"/>
    </x:row>
    <x:row r="58" ht="34" customHeight="1">
      <x:c r="A58" s="18" t="n">
        <x:v>46331</x:v>
      </x:c>
      <x:c r="B58" t="str">
        <x:v>W04</x:v>
      </x:c>
      <x:c r="C58" t="str">
        <x:v>Thu</x:v>
      </x:c>
      <x:c r="D58" t="str">
        <x:v>Co-founder 1</x:v>
      </x:c>
      <x:c r="E58" t="str">
        <x:v>Operations</x:v>
      </x:c>
      <x:c r="F58" t="str">
        <x:v>OPS-011</x:v>
      </x:c>
      <x:c r="G58" s="22" t="str">
        <x:v>Test database backup restore in staging and record recovery time.</x:v>
      </x:c>
      <x:c r="H58" s="20" t="n">
        <x:v>1.15</x:v>
      </x:c>
      <x:c r="I58" t="str">
        <x:v>Not started</x:v>
      </x:c>
      <x:c r="J58" s="20"/>
      <x:c r="K58" t="str"/>
      <x:c r="L58" s="22" t="str"/>
      <x:c r="M58" t="str">
        <x:v>P1</x:v>
      </x:c>
      <x:c r="N58" s="22" t="str"/>
    </x:row>
    <x:row r="59" ht="34" customHeight="1">
      <x:c r="A59" s="18" t="n">
        <x:v>46331</x:v>
      </x:c>
      <x:c r="B59" t="str">
        <x:v>W04</x:v>
      </x:c>
      <x:c r="C59" t="str">
        <x:v>Thu</x:v>
      </x:c>
      <x:c r="D59" t="str">
        <x:v>Co-founder 2</x:v>
      </x:c>
      <x:c r="E59" t="str">
        <x:v>Engineering QA</x:v>
      </x:c>
      <x:c r="F59" t="str">
        <x:v>QA-013</x:v>
      </x:c>
      <x:c r="G59" s="22" t="str">
        <x:v>Check preview totals against independently computed fixture.</x:v>
      </x:c>
      <x:c r="H59" s="20" t="n">
        <x:v>1.05</x:v>
      </x:c>
      <x:c r="I59" t="str">
        <x:v>Not started</x:v>
      </x:c>
      <x:c r="J59" s="20"/>
      <x:c r="K59" t="str"/>
      <x:c r="L59" s="22" t="str"/>
      <x:c r="M59" t="str">
        <x:v>P0</x:v>
      </x:c>
      <x:c r="N59" s="22" t="str"/>
    </x:row>
    <x:row r="60" ht="34" customHeight="1">
      <x:c r="A60" s="18" t="n">
        <x:v>46332</x:v>
      </x:c>
      <x:c r="B60" t="str">
        <x:v>W04</x:v>
      </x:c>
      <x:c r="C60" t="str">
        <x:v>Fri</x:v>
      </x:c>
      <x:c r="D60" t="str">
        <x:v>Founder / CEO</x:v>
      </x:c>
      <x:c r="E60" t="str">
        <x:v>Engineering</x:v>
      </x:c>
      <x:c r="F60" t="str">
        <x:v>ENG-011</x:v>
      </x:c>
      <x:c r="G60" s="22" t="str">
        <x:v>Build preview/pagination for 100+ normalized records.</x:v>
      </x:c>
      <x:c r="H60" s="20" t="n">
        <x:v>2.5</x:v>
      </x:c>
      <x:c r="I60" t="str">
        <x:v>Not started</x:v>
      </x:c>
      <x:c r="J60" s="20"/>
      <x:c r="K60" t="str"/>
      <x:c r="L60" s="22" t="str"/>
      <x:c r="M60" t="str">
        <x:v>P0</x:v>
      </x:c>
      <x:c r="N60" s="22" t="str"/>
    </x:row>
    <x:row r="61" ht="34" customHeight="1">
      <x:c r="A61" s="18" t="n">
        <x:v>46332</x:v>
      </x:c>
      <x:c r="B61" t="str">
        <x:v>W04</x:v>
      </x:c>
      <x:c r="C61" t="str">
        <x:v>Fri</x:v>
      </x:c>
      <x:c r="D61" t="str">
        <x:v>Co-founder 1</x:v>
      </x:c>
      <x:c r="E61" t="str">
        <x:v>Marketing</x:v>
      </x:c>
      <x:c r="F61" t="str">
        <x:v>MKT-008</x:v>
      </x:c>
      <x:c r="G61" s="22" t="str">
        <x:v>Design before/after workflow visuals with synthetic invoice data.</x:v>
      </x:c>
      <x:c r="H61" s="20" t="n">
        <x:v>1.25</x:v>
      </x:c>
      <x:c r="I61" t="str">
        <x:v>Not started</x:v>
      </x:c>
      <x:c r="J61" s="20"/>
      <x:c r="K61" t="str"/>
      <x:c r="L61" s="22" t="str"/>
      <x:c r="M61" t="str">
        <x:v>P1</x:v>
      </x:c>
      <x:c r="N61" s="22" t="str"/>
    </x:row>
    <x:row r="62" ht="34" customHeight="1">
      <x:c r="A62" s="18" t="n">
        <x:v>46332</x:v>
      </x:c>
      <x:c r="B62" t="str">
        <x:v>W04</x:v>
      </x:c>
      <x:c r="C62" t="str">
        <x:v>Fri</x:v>
      </x:c>
      <x:c r="D62" t="str">
        <x:v>Co-founder 2</x:v>
      </x:c>
      <x:c r="E62" t="str">
        <x:v>Operations</x:v>
      </x:c>
      <x:c r="F62" t="str">
        <x:v>OPS-012</x:v>
      </x:c>
      <x:c r="G62" s="22" t="str">
        <x:v>Write short CSV/XLSX import troubleshooting notes.</x:v>
      </x:c>
      <x:c r="H62" s="20" t="n">
        <x:v>0.9</x:v>
      </x:c>
      <x:c r="I62" t="str">
        <x:v>Not started</x:v>
      </x:c>
      <x:c r="J62" s="20"/>
      <x:c r="K62" t="str"/>
      <x:c r="L62" s="22" t="str"/>
      <x:c r="M62" t="str">
        <x:v>P1</x:v>
      </x:c>
      <x:c r="N62" s="22" t="str"/>
    </x:row>
    <x:row r="63" ht="34" customHeight="1">
      <x:c r="A63" s="18" t="n">
        <x:v>46335</x:v>
      </x:c>
      <x:c r="B63" t="str">
        <x:v>W04</x:v>
      </x:c>
      <x:c r="C63" t="str">
        <x:v>Mon</x:v>
      </x:c>
      <x:c r="D63" t="str">
        <x:v>Founder / CEO</x:v>
      </x:c>
      <x:c r="E63" t="str">
        <x:v>Finance</x:v>
      </x:c>
      <x:c r="F63" t="str">
        <x:v>FIN-004</x:v>
      </x:c>
      <x:c r="G63" s="22" t="str">
        <x:v>Reforecast 3-month expenses from actual provider invoices and pilot scope.</x:v>
      </x:c>
      <x:c r="H63" s="20" t="n">
        <x:v>1.25</x:v>
      </x:c>
      <x:c r="I63" t="str">
        <x:v>Not started</x:v>
      </x:c>
      <x:c r="J63" s="20"/>
      <x:c r="K63" t="str"/>
      <x:c r="L63" s="22" t="str"/>
      <x:c r="M63" t="str">
        <x:v>P1</x:v>
      </x:c>
      <x:c r="N63" s="22" t="str"/>
    </x:row>
    <x:row r="64" ht="34" customHeight="1">
      <x:c r="A64" s="18" t="n">
        <x:v>46335</x:v>
      </x:c>
      <x:c r="B64" t="str">
        <x:v>W04</x:v>
      </x:c>
      <x:c r="C64" t="str">
        <x:v>Mon</x:v>
      </x:c>
      <x:c r="D64" t="str">
        <x:v>Co-founder 1</x:v>
      </x:c>
      <x:c r="E64" t="str">
        <x:v>Operations</x:v>
      </x:c>
      <x:c r="F64" t="str">
        <x:v>OPS-013</x:v>
      </x:c>
      <x:c r="G64" s="22" t="str">
        <x:v>Review access control, backup evidence and sprint risks.</x:v>
      </x:c>
      <x:c r="H64" s="20" t="n">
        <x:v>1.15</x:v>
      </x:c>
      <x:c r="I64" t="str">
        <x:v>Not started</x:v>
      </x:c>
      <x:c r="J64" s="20"/>
      <x:c r="K64" t="str"/>
      <x:c r="L64" s="22" t="str"/>
      <x:c r="M64" t="str">
        <x:v>P1</x:v>
      </x:c>
      <x:c r="N64" s="22" t="str"/>
    </x:row>
    <x:row r="65" ht="34" customHeight="1">
      <x:c r="A65" s="18" t="n">
        <x:v>46335</x:v>
      </x:c>
      <x:c r="B65" t="str">
        <x:v>W04</x:v>
      </x:c>
      <x:c r="C65" t="str">
        <x:v>Mon</x:v>
      </x:c>
      <x:c r="D65" t="str">
        <x:v>Co-founder 2</x:v>
      </x:c>
      <x:c r="E65" t="str">
        <x:v>Engineering QA</x:v>
      </x:c>
      <x:c r="F65" t="str">
        <x:v>QA-014</x:v>
      </x:c>
      <x:c r="G65" s="22" t="str">
        <x:v>Run regression suite and report data-loss or corruption risks.</x:v>
      </x:c>
      <x:c r="H65" s="20" t="n">
        <x:v>1.05</x:v>
      </x:c>
      <x:c r="I65" t="str">
        <x:v>Not started</x:v>
      </x:c>
      <x:c r="J65" s="20"/>
      <x:c r="K65" t="str"/>
      <x:c r="L65" s="22" t="str"/>
      <x:c r="M65" t="str">
        <x:v>P0</x:v>
      </x:c>
      <x:c r="N65" s="22" t="str"/>
    </x:row>
    <x:row r="66" ht="34" customHeight="1">
      <x:c r="A66" s="18" t="n">
        <x:v>46336</x:v>
      </x:c>
      <x:c r="B66" t="str">
        <x:v>W05</x:v>
      </x:c>
      <x:c r="C66" t="str">
        <x:v>Tue</x:v>
      </x:c>
      <x:c r="D66" t="str">
        <x:v>Founder / CEO</x:v>
      </x:c>
      <x:c r="E66" t="str">
        <x:v>Engineering</x:v>
      </x:c>
      <x:c r="F66" t="str">
        <x:v>ENG-012</x:v>
      </x:c>
      <x:c r="G66" s="22" t="str">
        <x:v>Add record correction endpoint and edit-history metadata.</x:v>
      </x:c>
      <x:c r="H66" s="20" t="n">
        <x:v>2.5</x:v>
      </x:c>
      <x:c r="I66" t="str">
        <x:v>Not started</x:v>
      </x:c>
      <x:c r="J66" s="20"/>
      <x:c r="K66" t="str"/>
      <x:c r="L66" s="22" t="str"/>
      <x:c r="M66" t="str">
        <x:v>P0</x:v>
      </x:c>
      <x:c r="N66" s="22" t="str"/>
    </x:row>
    <x:row r="67" ht="34" customHeight="1">
      <x:c r="A67" s="18" t="n">
        <x:v>46336</x:v>
      </x:c>
      <x:c r="B67" t="str">
        <x:v>W05</x:v>
      </x:c>
      <x:c r="C67" t="str">
        <x:v>Tue</x:v>
      </x:c>
      <x:c r="D67" t="str">
        <x:v>Co-founder 1</x:v>
      </x:c>
      <x:c r="E67" t="str">
        <x:v>Marketing</x:v>
      </x:c>
      <x:c r="F67" t="str">
        <x:v>MKT-009</x:v>
      </x:c>
      <x:c r="G67" s="22" t="str">
        <x:v>Publish waitlist/interest page with an explicit prototype label.</x:v>
      </x:c>
      <x:c r="H67" s="20" t="n">
        <x:v>1.25</x:v>
      </x:c>
      <x:c r="I67" t="str">
        <x:v>Not started</x:v>
      </x:c>
      <x:c r="J67" s="20"/>
      <x:c r="K67" t="str"/>
      <x:c r="L67" s="22" t="str"/>
      <x:c r="M67" t="str">
        <x:v>P1</x:v>
      </x:c>
      <x:c r="N67" s="22" t="str"/>
    </x:row>
    <x:row r="68" ht="34" customHeight="1">
      <x:c r="A68" s="18" t="n">
        <x:v>46336</x:v>
      </x:c>
      <x:c r="B68" t="str">
        <x:v>W05</x:v>
      </x:c>
      <x:c r="C68" t="str">
        <x:v>Tue</x:v>
      </x:c>
      <x:c r="D68" t="str">
        <x:v>Co-founder 2</x:v>
      </x:c>
      <x:c r="E68" t="str">
        <x:v>Engineering QA</x:v>
      </x:c>
      <x:c r="F68" t="str">
        <x:v>QA-015</x:v>
      </x:c>
      <x:c r="G68" s="22" t="str">
        <x:v>Verify corrections do not erase original raw records.</x:v>
      </x:c>
      <x:c r="H68" s="20" t="n">
        <x:v>1.05</x:v>
      </x:c>
      <x:c r="I68" t="str">
        <x:v>Not started</x:v>
      </x:c>
      <x:c r="J68" s="20"/>
      <x:c r="K68" t="str"/>
      <x:c r="L68" s="22" t="str"/>
      <x:c r="M68" t="str">
        <x:v>P0</x:v>
      </x:c>
      <x:c r="N68" s="22" t="str"/>
    </x:row>
    <x:row r="69" ht="34" customHeight="1">
      <x:c r="A69" s="18" t="n">
        <x:v>46337</x:v>
      </x:c>
      <x:c r="B69" t="str">
        <x:v>W05</x:v>
      </x:c>
      <x:c r="C69" t="str">
        <x:v>Wed</x:v>
      </x:c>
      <x:c r="D69" t="str">
        <x:v>Founder / CEO</x:v>
      </x:c>
      <x:c r="E69" t="str">
        <x:v>Engineering</x:v>
      </x:c>
      <x:c r="F69" t="str">
        <x:v>ENG-013</x:v>
      </x:c>
      <x:c r="G69" s="22" t="str">
        <x:v>Store file/page/row provenance and flag uncertain extracted fields.</x:v>
      </x:c>
      <x:c r="H69" s="20" t="n">
        <x:v>2.5</x:v>
      </x:c>
      <x:c r="I69" t="str">
        <x:v>Not started</x:v>
      </x:c>
      <x:c r="J69" s="20"/>
      <x:c r="K69" t="str"/>
      <x:c r="L69" s="22" t="str"/>
      <x:c r="M69" t="str">
        <x:v>P0</x:v>
      </x:c>
      <x:c r="N69" s="22" t="str"/>
    </x:row>
    <x:row r="70" ht="34" customHeight="1">
      <x:c r="A70" s="18" t="n">
        <x:v>46337</x:v>
      </x:c>
      <x:c r="B70" t="str">
        <x:v>W05</x:v>
      </x:c>
      <x:c r="C70" t="str">
        <x:v>Wed</x:v>
      </x:c>
      <x:c r="D70" t="str">
        <x:v>Co-founder 1</x:v>
      </x:c>
      <x:c r="E70" t="str">
        <x:v>Operations</x:v>
      </x:c>
      <x:c r="F70" t="str">
        <x:v>OPS-014</x:v>
      </x:c>
      <x:c r="G70" s="22" t="str">
        <x:v>Define document retention/deletion schedules for pilot consent review.</x:v>
      </x:c>
      <x:c r="H70" s="20" t="n">
        <x:v>1.15</x:v>
      </x:c>
      <x:c r="I70" t="str">
        <x:v>Not started</x:v>
      </x:c>
      <x:c r="J70" s="20"/>
      <x:c r="K70" t="str"/>
      <x:c r="L70" s="22" t="str"/>
      <x:c r="M70" t="str">
        <x:v>P1</x:v>
      </x:c>
      <x:c r="N70" s="22" t="str"/>
    </x:row>
    <x:row r="71" ht="34" customHeight="1">
      <x:c r="A71" s="18" t="n">
        <x:v>46337</x:v>
      </x:c>
      <x:c r="B71" t="str">
        <x:v>W05</x:v>
      </x:c>
      <x:c r="C71" t="str">
        <x:v>Wed</x:v>
      </x:c>
      <x:c r="D71" t="str">
        <x:v>Co-founder 2</x:v>
      </x:c>
      <x:c r="E71" t="str">
        <x:v>Engineering QA</x:v>
      </x:c>
      <x:c r="F71" t="str">
        <x:v>QA-016</x:v>
      </x:c>
      <x:c r="G71" s="22" t="str">
        <x:v>Test source lineage for CSV/XLSX and text PDFs.</x:v>
      </x:c>
      <x:c r="H71" s="20" t="n">
        <x:v>1.05</x:v>
      </x:c>
      <x:c r="I71" t="str">
        <x:v>Not started</x:v>
      </x:c>
      <x:c r="J71" s="20"/>
      <x:c r="K71" t="str"/>
      <x:c r="L71" s="22" t="str"/>
      <x:c r="M71" t="str">
        <x:v>P0</x:v>
      </x:c>
      <x:c r="N71" s="22" t="str"/>
    </x:row>
    <x:row r="72" ht="34" customHeight="1">
      <x:c r="A72" s="18" t="n">
        <x:v>46338</x:v>
      </x:c>
      <x:c r="B72" t="str">
        <x:v>W05</x:v>
      </x:c>
      <x:c r="C72" t="str">
        <x:v>Thu</x:v>
      </x:c>
      <x:c r="D72" t="str">
        <x:v>Founder / CEO</x:v>
      </x:c>
      <x:c r="E72" t="str">
        <x:v>Engineering</x:v>
      </x:c>
      <x:c r="F72" t="str">
        <x:v>ENG-014</x:v>
      </x:c>
      <x:c r="G72" s="22" t="str">
        <x:v>Prototype text-based PDF extraction on synthetic, non-scanned invoices.</x:v>
      </x:c>
      <x:c r="H72" s="20" t="n">
        <x:v>2.5</x:v>
      </x:c>
      <x:c r="I72" t="str">
        <x:v>Not started</x:v>
      </x:c>
      <x:c r="J72" s="20"/>
      <x:c r="K72" t="str"/>
      <x:c r="L72" s="22" t="str"/>
      <x:c r="M72" t="str">
        <x:v>P0</x:v>
      </x:c>
      <x:c r="N72" s="22" t="str"/>
    </x:row>
    <x:row r="73" ht="34" customHeight="1">
      <x:c r="A73" s="18" t="n">
        <x:v>46338</x:v>
      </x:c>
      <x:c r="B73" t="str">
        <x:v>W05</x:v>
      </x:c>
      <x:c r="C73" t="str">
        <x:v>Thu</x:v>
      </x:c>
      <x:c r="D73" t="str">
        <x:v>Co-founder 1</x:v>
      </x:c>
      <x:c r="E73" t="str">
        <x:v>Sales</x:v>
      </x:c>
      <x:c r="F73" t="str">
        <x:v>SAL-011</x:v>
      </x:c>
      <x:c r="G73" s="22" t="str">
        <x:v>Gather structured feedback on corrected records and traceable totals.</x:v>
      </x:c>
      <x:c r="H73" s="20" t="n">
        <x:v>1</x:v>
      </x:c>
      <x:c r="I73" t="str">
        <x:v>Not started</x:v>
      </x:c>
      <x:c r="J73" s="20"/>
      <x:c r="K73" t="str"/>
      <x:c r="L73" s="22" t="str"/>
      <x:c r="M73" t="str">
        <x:v>P1</x:v>
      </x:c>
      <x:c r="N73" s="22" t="str"/>
    </x:row>
    <x:row r="74" ht="34" customHeight="1">
      <x:c r="A74" s="18" t="n">
        <x:v>46338</x:v>
      </x:c>
      <x:c r="B74" t="str">
        <x:v>W05</x:v>
      </x:c>
      <x:c r="C74" t="str">
        <x:v>Thu</x:v>
      </x:c>
      <x:c r="D74" t="str">
        <x:v>Co-founder 2</x:v>
      </x:c>
      <x:c r="E74" t="str">
        <x:v>Engineering QA</x:v>
      </x:c>
      <x:c r="F74" t="str">
        <x:v>QA-017</x:v>
      </x:c>
      <x:c r="G74" s="22" t="str">
        <x:v>Run malicious-file smoke tests and injection-text fixture.</x:v>
      </x:c>
      <x:c r="H74" s="20" t="n">
        <x:v>1.05</x:v>
      </x:c>
      <x:c r="I74" t="str">
        <x:v>Not started</x:v>
      </x:c>
      <x:c r="J74" s="20"/>
      <x:c r="K74" t="str"/>
      <x:c r="L74" s="22" t="str"/>
      <x:c r="M74" t="str">
        <x:v>P0</x:v>
      </x:c>
      <x:c r="N74" s="22" t="str"/>
    </x:row>
    <x:row r="75" ht="34" customHeight="1">
      <x:c r="A75" s="18" t="n">
        <x:v>46339</x:v>
      </x:c>
      <x:c r="B75" t="str">
        <x:v>W05</x:v>
      </x:c>
      <x:c r="C75" t="str">
        <x:v>Fri</x:v>
      </x:c>
      <x:c r="D75" t="str">
        <x:v>Founder / CEO</x:v>
      </x:c>
      <x:c r="E75" t="str">
        <x:v>Sales</x:v>
      </x:c>
      <x:c r="F75" t="str">
        <x:v>SAL-012</x:v>
      </x:c>
      <x:c r="G75" s="22" t="str">
        <x:v>Observe a design partner reconciling imported data; record correction time.</x:v>
      </x:c>
      <x:c r="H75" s="20" t="n">
        <x:v>2</x:v>
      </x:c>
      <x:c r="I75" t="str">
        <x:v>Not started</x:v>
      </x:c>
      <x:c r="J75" s="20"/>
      <x:c r="K75" t="str"/>
      <x:c r="L75" s="22" t="str"/>
      <x:c r="M75" t="str">
        <x:v>P1</x:v>
      </x:c>
      <x:c r="N75" s="22" t="str"/>
    </x:row>
    <x:row r="76" ht="34" customHeight="1">
      <x:c r="A76" s="18" t="n">
        <x:v>46339</x:v>
      </x:c>
      <x:c r="B76" t="str">
        <x:v>W05</x:v>
      </x:c>
      <x:c r="C76" t="str">
        <x:v>Fri</x:v>
      </x:c>
      <x:c r="D76" t="str">
        <x:v>Co-founder 1</x:v>
      </x:c>
      <x:c r="E76" t="str">
        <x:v>Marketing</x:v>
      </x:c>
      <x:c r="F76" t="str">
        <x:v>MKT-010</x:v>
      </x:c>
      <x:c r="G76" s="22" t="str">
        <x:v>Draft a two-minute prototype walkthrough script.</x:v>
      </x:c>
      <x:c r="H76" s="20" t="n">
        <x:v>1.25</x:v>
      </x:c>
      <x:c r="I76" t="str">
        <x:v>Not started</x:v>
      </x:c>
      <x:c r="J76" s="20"/>
      <x:c r="K76" t="str"/>
      <x:c r="L76" s="22" t="str"/>
      <x:c r="M76" t="str">
        <x:v>P1</x:v>
      </x:c>
      <x:c r="N76" s="22" t="str"/>
    </x:row>
    <x:row r="77" ht="34" customHeight="1">
      <x:c r="A77" s="18" t="n">
        <x:v>46339</x:v>
      </x:c>
      <x:c r="B77" t="str">
        <x:v>W05</x:v>
      </x:c>
      <x:c r="C77" t="str">
        <x:v>Fri</x:v>
      </x:c>
      <x:c r="D77" t="str">
        <x:v>Co-founder 2</x:v>
      </x:c>
      <x:c r="E77" t="str">
        <x:v>Operations</x:v>
      </x:c>
      <x:c r="F77" t="str">
        <x:v>OPS-015</x:v>
      </x:c>
      <x:c r="G77" s="22" t="str">
        <x:v>Draft user-facing data validation and correction guide.</x:v>
      </x:c>
      <x:c r="H77" s="20" t="n">
        <x:v>0.9</x:v>
      </x:c>
      <x:c r="I77" t="str">
        <x:v>Not started</x:v>
      </x:c>
      <x:c r="J77" s="20"/>
      <x:c r="K77" t="str"/>
      <x:c r="L77" s="22" t="str"/>
      <x:c r="M77" t="str">
        <x:v>P1</x:v>
      </x:c>
      <x:c r="N77" s="22" t="str"/>
    </x:row>
    <x:row r="78" ht="34" customHeight="1">
      <x:c r="A78" s="18" t="n">
        <x:v>46342</x:v>
      </x:c>
      <x:c r="B78" t="str">
        <x:v>W05</x:v>
      </x:c>
      <x:c r="C78" t="str">
        <x:v>Mon</x:v>
      </x:c>
      <x:c r="D78" t="str">
        <x:v>Founder / CEO</x:v>
      </x:c>
      <x:c r="E78" t="str">
        <x:v>Finance</x:v>
      </x:c>
      <x:c r="F78" t="str">
        <x:v>FIN-005</x:v>
      </x:c>
      <x:c r="G78" s="22" t="str">
        <x:v>Benchmark spreadsheet vs PDF extraction costs and set scan/OCR deferral rule.</x:v>
      </x:c>
      <x:c r="H78" s="20" t="n">
        <x:v>1.25</x:v>
      </x:c>
      <x:c r="I78" t="str">
        <x:v>Not started</x:v>
      </x:c>
      <x:c r="J78" s="20"/>
      <x:c r="K78" t="str"/>
      <x:c r="L78" s="22" t="str"/>
      <x:c r="M78" t="str">
        <x:v>P1</x:v>
      </x:c>
      <x:c r="N78" s="22" t="str"/>
    </x:row>
    <x:row r="79" ht="34" customHeight="1">
      <x:c r="A79" s="18" t="n">
        <x:v>46342</x:v>
      </x:c>
      <x:c r="B79" t="str">
        <x:v>W05</x:v>
      </x:c>
      <x:c r="C79" t="str">
        <x:v>Mon</x:v>
      </x:c>
      <x:c r="D79" t="str">
        <x:v>Co-founder 1</x:v>
      </x:c>
      <x:c r="E79" t="str">
        <x:v>Operations</x:v>
      </x:c>
      <x:c r="F79" t="str">
        <x:v>OPS-016</x:v>
      </x:c>
      <x:c r="G79" s="22" t="str">
        <x:v>Confirm encrypted transport/storage and access logging review.</x:v>
      </x:c>
      <x:c r="H79" s="20" t="n">
        <x:v>1.15</x:v>
      </x:c>
      <x:c r="I79" t="str">
        <x:v>Not started</x:v>
      </x:c>
      <x:c r="J79" s="20"/>
      <x:c r="K79" t="str"/>
      <x:c r="L79" s="22" t="str"/>
      <x:c r="M79" t="str">
        <x:v>P1</x:v>
      </x:c>
      <x:c r="N79" s="22" t="str"/>
    </x:row>
    <x:row r="80" ht="34" customHeight="1">
      <x:c r="A80" s="18" t="n">
        <x:v>46342</x:v>
      </x:c>
      <x:c r="B80" t="str">
        <x:v>W05</x:v>
      </x:c>
      <x:c r="C80" t="str">
        <x:v>Mon</x:v>
      </x:c>
      <x:c r="D80" t="str">
        <x:v>Co-founder 2</x:v>
      </x:c>
      <x:c r="E80" t="str">
        <x:v>Engineering QA</x:v>
      </x:c>
      <x:c r="F80" t="str">
        <x:v>QA-018</x:v>
      </x:c>
      <x:c r="G80" s="22" t="str">
        <x:v>Issue P0/P1 defect triage and go/no-go for planner stage.</x:v>
      </x:c>
      <x:c r="H80" s="20" t="n">
        <x:v>1.05</x:v>
      </x:c>
      <x:c r="I80" t="str">
        <x:v>Not started</x:v>
      </x:c>
      <x:c r="J80" s="20"/>
      <x:c r="K80" t="str"/>
      <x:c r="L80" s="22" t="str"/>
      <x:c r="M80" t="str">
        <x:v>P0</x:v>
      </x:c>
      <x:c r="N80" s="22" t="str"/>
    </x:row>
    <x:row r="81" ht="34" customHeight="1">
      <x:c r="A81" s="18" t="n">
        <x:v>46343</x:v>
      </x:c>
      <x:c r="B81" t="str">
        <x:v>W06</x:v>
      </x:c>
      <x:c r="C81" t="str">
        <x:v>Tue</x:v>
      </x:c>
      <x:c r="D81" t="str">
        <x:v>Founder / CEO</x:v>
      </x:c>
      <x:c r="E81" t="str">
        <x:v>Engineering</x:v>
      </x:c>
      <x:c r="F81" t="str">
        <x:v>ENG-015</x:v>
      </x:c>
      <x:c r="G81" s="22" t="str">
        <x:v>Define allowlisted artifact JSON schema: columns, sorts, filters, calculations.</x:v>
      </x:c>
      <x:c r="H81" s="20" t="n">
        <x:v>2.5</x:v>
      </x:c>
      <x:c r="I81" t="str">
        <x:v>Not started</x:v>
      </x:c>
      <x:c r="J81" s="20"/>
      <x:c r="K81" t="str"/>
      <x:c r="L81" s="22" t="str"/>
      <x:c r="M81" t="str">
        <x:v>P0</x:v>
      </x:c>
      <x:c r="N81" s="22" t="str"/>
    </x:row>
    <x:row r="82" ht="34" customHeight="1">
      <x:c r="A82" s="18" t="n">
        <x:v>46343</x:v>
      </x:c>
      <x:c r="B82" t="str">
        <x:v>W06</x:v>
      </x:c>
      <x:c r="C82" t="str">
        <x:v>Tue</x:v>
      </x:c>
      <x:c r="D82" t="str">
        <x:v>Co-founder 1</x:v>
      </x:c>
      <x:c r="E82" t="str">
        <x:v>Marketing</x:v>
      </x:c>
      <x:c r="F82" t="str">
        <x:v>MKT-011</x:v>
      </x:c>
      <x:c r="G82" s="22" t="str">
        <x:v>Publish prototype progress update without performance exaggeration.</x:v>
      </x:c>
      <x:c r="H82" s="20" t="n">
        <x:v>1.25</x:v>
      </x:c>
      <x:c r="I82" t="str">
        <x:v>Not started</x:v>
      </x:c>
      <x:c r="J82" s="20"/>
      <x:c r="K82" t="str"/>
      <x:c r="L82" s="22" t="str"/>
      <x:c r="M82" t="str">
        <x:v>P1</x:v>
      </x:c>
      <x:c r="N82" s="22" t="str"/>
    </x:row>
    <x:row r="83" ht="34" customHeight="1">
      <x:c r="A83" s="18" t="n">
        <x:v>46343</x:v>
      </x:c>
      <x:c r="B83" t="str">
        <x:v>W06</x:v>
      </x:c>
      <x:c r="C83" t="str">
        <x:v>Tue</x:v>
      </x:c>
      <x:c r="D83" t="str">
        <x:v>Co-founder 2</x:v>
      </x:c>
      <x:c r="E83" t="str">
        <x:v>Engineering QA</x:v>
      </x:c>
      <x:c r="F83" t="str">
        <x:v>QA-019</x:v>
      </x:c>
      <x:c r="G83" s="22" t="str">
        <x:v>Write 20 representative prompts including ambiguous and malicious requests.</x:v>
      </x:c>
      <x:c r="H83" s="20" t="n">
        <x:v>1.05</x:v>
      </x:c>
      <x:c r="I83" t="str">
        <x:v>Not started</x:v>
      </x:c>
      <x:c r="J83" s="20"/>
      <x:c r="K83" t="str"/>
      <x:c r="L83" s="22" t="str"/>
      <x:c r="M83" t="str">
        <x:v>P0</x:v>
      </x:c>
      <x:c r="N83" s="22" t="str"/>
    </x:row>
    <x:row r="84" ht="34" customHeight="1">
      <x:c r="A84" s="18" t="n">
        <x:v>46344</x:v>
      </x:c>
      <x:c r="B84" t="str">
        <x:v>W06</x:v>
      </x:c>
      <x:c r="C84" t="str">
        <x:v>Wed</x:v>
      </x:c>
      <x:c r="D84" t="str">
        <x:v>Founder / CEO</x:v>
      </x:c>
      <x:c r="E84" t="str">
        <x:v>Engineering</x:v>
      </x:c>
      <x:c r="F84" t="str">
        <x:v>ENG-016</x:v>
      </x:c>
      <x:c r="G84" s="22" t="str">
        <x:v>Build AI planner adapter with model choice, timeout and max-token settings.</x:v>
      </x:c>
      <x:c r="H84" s="20" t="n">
        <x:v>2.5</x:v>
      </x:c>
      <x:c r="I84" t="str">
        <x:v>Not started</x:v>
      </x:c>
      <x:c r="J84" s="20"/>
      <x:c r="K84" t="str"/>
      <x:c r="L84" s="22" t="str"/>
      <x:c r="M84" t="str">
        <x:v>P0</x:v>
      </x:c>
      <x:c r="N84" s="22" t="str"/>
    </x:row>
    <x:row r="85" ht="34" customHeight="1">
      <x:c r="A85" s="18" t="n">
        <x:v>46344</x:v>
      </x:c>
      <x:c r="B85" t="str">
        <x:v>W06</x:v>
      </x:c>
      <x:c r="C85" t="str">
        <x:v>Wed</x:v>
      </x:c>
      <x:c r="D85" t="str">
        <x:v>Co-founder 1</x:v>
      </x:c>
      <x:c r="E85" t="str">
        <x:v>Operations</x:v>
      </x:c>
      <x:c r="F85" t="str">
        <x:v>OPS-017</x:v>
      </x:c>
      <x:c r="G85" s="22" t="str">
        <x:v>Add secrets rotation and API-key access checklist.</x:v>
      </x:c>
      <x:c r="H85" s="20" t="n">
        <x:v>1.15</x:v>
      </x:c>
      <x:c r="I85" t="str">
        <x:v>Not started</x:v>
      </x:c>
      <x:c r="J85" s="20"/>
      <x:c r="K85" t="str"/>
      <x:c r="L85" s="22" t="str"/>
      <x:c r="M85" t="str">
        <x:v>P1</x:v>
      </x:c>
      <x:c r="N85" s="22" t="str"/>
    </x:row>
    <x:row r="86" ht="34" customHeight="1">
      <x:c r="A86" s="18" t="n">
        <x:v>46344</x:v>
      </x:c>
      <x:c r="B86" t="str">
        <x:v>W06</x:v>
      </x:c>
      <x:c r="C86" t="str">
        <x:v>Wed</x:v>
      </x:c>
      <x:c r="D86" t="str">
        <x:v>Co-founder 2</x:v>
      </x:c>
      <x:c r="E86" t="str">
        <x:v>Engineering QA</x:v>
      </x:c>
      <x:c r="F86" t="str">
        <x:v>QA-020</x:v>
      </x:c>
      <x:c r="G86" s="22" t="str">
        <x:v>Test schema validator with hallucinated fields and invalid aggregations.</x:v>
      </x:c>
      <x:c r="H86" s="20" t="n">
        <x:v>1.05</x:v>
      </x:c>
      <x:c r="I86" t="str">
        <x:v>Not started</x:v>
      </x:c>
      <x:c r="J86" s="20"/>
      <x:c r="K86" t="str"/>
      <x:c r="L86" s="22" t="str"/>
      <x:c r="M86" t="str">
        <x:v>P0</x:v>
      </x:c>
      <x:c r="N86" s="22" t="str"/>
    </x:row>
    <x:row r="87" ht="34" customHeight="1">
      <x:c r="A87" s="18" t="n">
        <x:v>46345</x:v>
      </x:c>
      <x:c r="B87" t="str">
        <x:v>W06</x:v>
      </x:c>
      <x:c r="C87" t="str">
        <x:v>Thu</x:v>
      </x:c>
      <x:c r="D87" t="str">
        <x:v>Founder / CEO</x:v>
      </x:c>
      <x:c r="E87" t="str">
        <x:v>Engineering</x:v>
      </x:c>
      <x:c r="F87" t="str">
        <x:v>ENG-017</x:v>
      </x:c>
      <x:c r="G87" s="22" t="str">
        <x:v>Validate and store structured planning output; reject unsupported operations.</x:v>
      </x:c>
      <x:c r="H87" s="20" t="n">
        <x:v>2.5</x:v>
      </x:c>
      <x:c r="I87" t="str">
        <x:v>Not started</x:v>
      </x:c>
      <x:c r="J87" s="20"/>
      <x:c r="K87" t="str"/>
      <x:c r="L87" s="22" t="str"/>
      <x:c r="M87" t="str">
        <x:v>P0</x:v>
      </x:c>
      <x:c r="N87" s="22" t="str"/>
    </x:row>
    <x:row r="88" ht="34" customHeight="1">
      <x:c r="A88" s="18" t="n">
        <x:v>46345</x:v>
      </x:c>
      <x:c r="B88" t="str">
        <x:v>W06</x:v>
      </x:c>
      <x:c r="C88" t="str">
        <x:v>Thu</x:v>
      </x:c>
      <x:c r="D88" t="str">
        <x:v>Co-founder 1</x:v>
      </x:c>
      <x:c r="E88" t="str">
        <x:v>Sales</x:v>
      </x:c>
      <x:c r="F88" t="str">
        <x:v>SAL-013</x:v>
      </x:c>
      <x:c r="G88" s="22" t="str">
        <x:v>Find five realistic prompt requests from consenting prospects.</x:v>
      </x:c>
      <x:c r="H88" s="20" t="n">
        <x:v>1</x:v>
      </x:c>
      <x:c r="I88" t="str">
        <x:v>Not started</x:v>
      </x:c>
      <x:c r="J88" s="20"/>
      <x:c r="K88" t="str"/>
      <x:c r="L88" s="22" t="str"/>
      <x:c r="M88" t="str">
        <x:v>P1</x:v>
      </x:c>
      <x:c r="N88" s="22" t="str"/>
    </x:row>
    <x:row r="89" ht="34" customHeight="1">
      <x:c r="A89" s="18" t="n">
        <x:v>46345</x:v>
      </x:c>
      <x:c r="B89" t="str">
        <x:v>W06</x:v>
      </x:c>
      <x:c r="C89" t="str">
        <x:v>Thu</x:v>
      </x:c>
      <x:c r="D89" t="str">
        <x:v>Co-founder 2</x:v>
      </x:c>
      <x:c r="E89" t="str">
        <x:v>Engineering QA</x:v>
      </x:c>
      <x:c r="F89" t="str">
        <x:v>QA-021</x:v>
      </x:c>
      <x:c r="G89" s="22" t="str">
        <x:v>Verify model response logs exclude sensitive source contents.</x:v>
      </x:c>
      <x:c r="H89" s="20" t="n">
        <x:v>1.05</x:v>
      </x:c>
      <x:c r="I89" t="str">
        <x:v>Not started</x:v>
      </x:c>
      <x:c r="J89" s="20"/>
      <x:c r="K89" t="str"/>
      <x:c r="L89" s="22" t="str"/>
      <x:c r="M89" t="str">
        <x:v>P0</x:v>
      </x:c>
      <x:c r="N89" s="22" t="str"/>
    </x:row>
    <x:row r="90" ht="34" customHeight="1">
      <x:c r="A90" s="18" t="n">
        <x:v>46346</x:v>
      </x:c>
      <x:c r="B90" t="str">
        <x:v>W06</x:v>
      </x:c>
      <x:c r="C90" t="str">
        <x:v>Fri</x:v>
      </x:c>
      <x:c r="D90" t="str">
        <x:v>Founder / CEO</x:v>
      </x:c>
      <x:c r="E90" t="str">
        <x:v>Sales</x:v>
      </x:c>
      <x:c r="F90" t="str">
        <x:v>SAL-014</x:v>
      </x:c>
      <x:c r="G90" s="22" t="str">
        <x:v>Test five user prompts in interviews; capture expectation gaps.</x:v>
      </x:c>
      <x:c r="H90" s="20" t="n">
        <x:v>2</x:v>
      </x:c>
      <x:c r="I90" t="str">
        <x:v>Not started</x:v>
      </x:c>
      <x:c r="J90" s="20"/>
      <x:c r="K90" t="str"/>
      <x:c r="L90" s="22" t="str"/>
      <x:c r="M90" t="str">
        <x:v>P1</x:v>
      </x:c>
      <x:c r="N90" s="22" t="str"/>
    </x:row>
    <x:row r="91" ht="34" customHeight="1">
      <x:c r="A91" s="18" t="n">
        <x:v>46346</x:v>
      </x:c>
      <x:c r="B91" t="str">
        <x:v>W06</x:v>
      </x:c>
      <x:c r="C91" t="str">
        <x:v>Fri</x:v>
      </x:c>
      <x:c r="D91" t="str">
        <x:v>Co-founder 1</x:v>
      </x:c>
      <x:c r="E91" t="str">
        <x:v>Marketing</x:v>
      </x:c>
      <x:c r="F91" t="str">
        <x:v>MKT-012</x:v>
      </x:c>
      <x:c r="G91" s="22" t="str">
        <x:v>Draft comparative message: reusable tools versus chat-only results.</x:v>
      </x:c>
      <x:c r="H91" s="20" t="n">
        <x:v>1.25</x:v>
      </x:c>
      <x:c r="I91" t="str">
        <x:v>Not started</x:v>
      </x:c>
      <x:c r="J91" s="20"/>
      <x:c r="K91" t="str"/>
      <x:c r="L91" s="22" t="str"/>
      <x:c r="M91" t="str">
        <x:v>P1</x:v>
      </x:c>
      <x:c r="N91" s="22" t="str"/>
    </x:row>
    <x:row r="92" ht="34" customHeight="1">
      <x:c r="A92" s="18" t="n">
        <x:v>46346</x:v>
      </x:c>
      <x:c r="B92" t="str">
        <x:v>W06</x:v>
      </x:c>
      <x:c r="C92" t="str">
        <x:v>Fri</x:v>
      </x:c>
      <x:c r="D92" t="str">
        <x:v>Co-founder 2</x:v>
      </x:c>
      <x:c r="E92" t="str">
        <x:v>Operations</x:v>
      </x:c>
      <x:c r="F92" t="str">
        <x:v>OPS-018</x:v>
      </x:c>
      <x:c r="G92" s="22" t="str">
        <x:v>Document how users correct or reject AI-generated specifications.</x:v>
      </x:c>
      <x:c r="H92" s="20" t="n">
        <x:v>0.9</x:v>
      </x:c>
      <x:c r="I92" t="str">
        <x:v>Not started</x:v>
      </x:c>
      <x:c r="J92" s="20"/>
      <x:c r="K92" t="str"/>
      <x:c r="L92" s="22" t="str"/>
      <x:c r="M92" t="str">
        <x:v>P1</x:v>
      </x:c>
      <x:c r="N92" s="22" t="str"/>
    </x:row>
    <x:row r="93" ht="34" customHeight="1">
      <x:c r="A93" s="18" t="n">
        <x:v>46349</x:v>
      </x:c>
      <x:c r="B93" t="str">
        <x:v>W06</x:v>
      </x:c>
      <x:c r="C93" t="str">
        <x:v>Mon</x:v>
      </x:c>
      <x:c r="D93" t="str">
        <x:v>Founder / CEO</x:v>
      </x:c>
      <x:c r="E93" t="str">
        <x:v>Finance</x:v>
      </x:c>
      <x:c r="F93" t="str">
        <x:v>FIN-006</x:v>
      </x:c>
      <x:c r="G93" s="22" t="str">
        <x:v>Measure cost/token per generated spec and define a provisional limit.</x:v>
      </x:c>
      <x:c r="H93" s="20" t="n">
        <x:v>1.25</x:v>
      </x:c>
      <x:c r="I93" t="str">
        <x:v>Not started</x:v>
      </x:c>
      <x:c r="J93" s="20"/>
      <x:c r="K93" t="str"/>
      <x:c r="L93" s="22" t="str"/>
      <x:c r="M93" t="str">
        <x:v>P1</x:v>
      </x:c>
      <x:c r="N93" s="22" t="str"/>
    </x:row>
    <x:row r="94" ht="34" customHeight="1">
      <x:c r="A94" s="18" t="n">
        <x:v>46349</x:v>
      </x:c>
      <x:c r="B94" t="str">
        <x:v>W06</x:v>
      </x:c>
      <x:c r="C94" t="str">
        <x:v>Mon</x:v>
      </x:c>
      <x:c r="D94" t="str">
        <x:v>Co-founder 1</x:v>
      </x:c>
      <x:c r="E94" t="str">
        <x:v>Operations</x:v>
      </x:c>
      <x:c r="F94" t="str">
        <x:v>OPS-019</x:v>
      </x:c>
      <x:c r="G94" s="22" t="str">
        <x:v>Review prompt testing evidence and AI-failure incident playbook.</x:v>
      </x:c>
      <x:c r="H94" s="20" t="n">
        <x:v>1.15</x:v>
      </x:c>
      <x:c r="I94" t="str">
        <x:v>Not started</x:v>
      </x:c>
      <x:c r="J94" s="20"/>
      <x:c r="K94" t="str"/>
      <x:c r="L94" s="22" t="str"/>
      <x:c r="M94" t="str">
        <x:v>P1</x:v>
      </x:c>
      <x:c r="N94" s="22" t="str"/>
    </x:row>
    <x:row r="95" ht="34" customHeight="1">
      <x:c r="A95" s="18" t="n">
        <x:v>46349</x:v>
      </x:c>
      <x:c r="B95" t="str">
        <x:v>W06</x:v>
      </x:c>
      <x:c r="C95" t="str">
        <x:v>Mon</x:v>
      </x:c>
      <x:c r="D95" t="str">
        <x:v>Co-founder 2</x:v>
      </x:c>
      <x:c r="E95" t="str">
        <x:v>Engineering QA</x:v>
      </x:c>
      <x:c r="F95" t="str">
        <x:v>QA-022</x:v>
      </x:c>
      <x:c r="G95" s="22" t="str">
        <x:v>Run golden-set acceptance benchmark and flag failures.</x:v>
      </x:c>
      <x:c r="H95" s="20" t="n">
        <x:v>1.05</x:v>
      </x:c>
      <x:c r="I95" t="str">
        <x:v>Not started</x:v>
      </x:c>
      <x:c r="J95" s="20"/>
      <x:c r="K95" t="str"/>
      <x:c r="L95" s="22" t="str"/>
      <x:c r="M95" t="str">
        <x:v>P0</x:v>
      </x:c>
      <x:c r="N95" s="22" t="str"/>
    </x:row>
    <x:row r="96" ht="34" customHeight="1">
      <x:c r="A96" s="18" t="n">
        <x:v>46350</x:v>
      </x:c>
      <x:c r="B96" t="str">
        <x:v>W07</x:v>
      </x:c>
      <x:c r="C96" t="str">
        <x:v>Tue</x:v>
      </x:c>
      <x:c r="D96" t="str">
        <x:v>Founder / CEO</x:v>
      </x:c>
      <x:c r="E96" t="str">
        <x:v>Engineering</x:v>
      </x:c>
      <x:c r="F96" t="str">
        <x:v>ENG-018</x:v>
      </x:c>
      <x:c r="G96" s="22" t="str">
        <x:v>Implement artifact versioning and ownership authorization.</x:v>
      </x:c>
      <x:c r="H96" s="20" t="n">
        <x:v>2.5</x:v>
      </x:c>
      <x:c r="I96" t="str">
        <x:v>Not started</x:v>
      </x:c>
      <x:c r="J96" s="20"/>
      <x:c r="K96" t="str"/>
      <x:c r="L96" s="22" t="str"/>
      <x:c r="M96" t="str">
        <x:v>P0</x:v>
      </x:c>
      <x:c r="N96" s="22" t="str"/>
    </x:row>
    <x:row r="97" ht="34" customHeight="1">
      <x:c r="A97" s="18" t="n">
        <x:v>46350</x:v>
      </x:c>
      <x:c r="B97" t="str">
        <x:v>W07</x:v>
      </x:c>
      <x:c r="C97" t="str">
        <x:v>Tue</x:v>
      </x:c>
      <x:c r="D97" t="str">
        <x:v>Co-founder 1</x:v>
      </x:c>
      <x:c r="E97" t="str">
        <x:v>Marketing</x:v>
      </x:c>
      <x:c r="F97" t="str">
        <x:v>MKT-013</x:v>
      </x:c>
      <x:c r="G97" s="22" t="str">
        <x:v>Produce 1-page data-to-workspace demo overview.</x:v>
      </x:c>
      <x:c r="H97" s="20" t="n">
        <x:v>1.25</x:v>
      </x:c>
      <x:c r="I97" t="str">
        <x:v>Not started</x:v>
      </x:c>
      <x:c r="J97" s="20"/>
      <x:c r="K97" t="str"/>
      <x:c r="L97" s="22" t="str"/>
      <x:c r="M97" t="str">
        <x:v>P1</x:v>
      </x:c>
      <x:c r="N97" s="22" t="str"/>
    </x:row>
    <x:row r="98" ht="34" customHeight="1">
      <x:c r="A98" s="18" t="n">
        <x:v>46350</x:v>
      </x:c>
      <x:c r="B98" t="str">
        <x:v>W07</x:v>
      </x:c>
      <x:c r="C98" t="str">
        <x:v>Tue</x:v>
      </x:c>
      <x:c r="D98" t="str">
        <x:v>Co-founder 2</x:v>
      </x:c>
      <x:c r="E98" t="str">
        <x:v>Engineering QA</x:v>
      </x:c>
      <x:c r="F98" t="str">
        <x:v>QA-023</x:v>
      </x:c>
      <x:c r="G98" s="22" t="str">
        <x:v>Verify all generated SQL stays tenant-scoped and read-only.</x:v>
      </x:c>
      <x:c r="H98" s="20" t="n">
        <x:v>1.05</x:v>
      </x:c>
      <x:c r="I98" t="str">
        <x:v>Not started</x:v>
      </x:c>
      <x:c r="J98" s="20"/>
      <x:c r="K98" t="str"/>
      <x:c r="L98" s="22" t="str"/>
      <x:c r="M98" t="str">
        <x:v>P0</x:v>
      </x:c>
      <x:c r="N98" s="22" t="str"/>
    </x:row>
    <x:row r="99" ht="34" customHeight="1">
      <x:c r="A99" s="18" t="n">
        <x:v>46351</x:v>
      </x:c>
      <x:c r="B99" t="str">
        <x:v>W07</x:v>
      </x:c>
      <x:c r="C99" t="str">
        <x:v>Wed</x:v>
      </x:c>
      <x:c r="D99" t="str">
        <x:v>Founder / CEO</x:v>
      </x:c>
      <x:c r="E99" t="str">
        <x:v>Engineering</x:v>
      </x:c>
      <x:c r="F99" t="str">
        <x:v>ENG-019</x:v>
      </x:c>
      <x:c r="G99" s="22" t="str">
        <x:v>Build safe query compiler from schema to parameterized filters/aggregates.</x:v>
      </x:c>
      <x:c r="H99" s="20" t="n">
        <x:v>2.5</x:v>
      </x:c>
      <x:c r="I99" t="str">
        <x:v>Not started</x:v>
      </x:c>
      <x:c r="J99" s="20"/>
      <x:c r="K99" t="str"/>
      <x:c r="L99" s="22" t="str"/>
      <x:c r="M99" t="str">
        <x:v>P0</x:v>
      </x:c>
      <x:c r="N99" s="22" t="str"/>
    </x:row>
    <x:row r="100" ht="34" customHeight="1">
      <x:c r="A100" s="18" t="n">
        <x:v>46351</x:v>
      </x:c>
      <x:c r="B100" t="str">
        <x:v>W07</x:v>
      </x:c>
      <x:c r="C100" t="str">
        <x:v>Wed</x:v>
      </x:c>
      <x:c r="D100" t="str">
        <x:v>Co-founder 1</x:v>
      </x:c>
      <x:c r="E100" t="str">
        <x:v>Operations</x:v>
      </x:c>
      <x:c r="F100" t="str">
        <x:v>OPS-020</x:v>
      </x:c>
      <x:c r="G100" s="22" t="str">
        <x:v>Document backing-up artifacts and dataset version links.</x:v>
      </x:c>
      <x:c r="H100" s="20" t="n">
        <x:v>1.15</x:v>
      </x:c>
      <x:c r="I100" t="str">
        <x:v>Not started</x:v>
      </x:c>
      <x:c r="J100" s="20"/>
      <x:c r="K100" t="str"/>
      <x:c r="L100" s="22" t="str"/>
      <x:c r="M100" t="str">
        <x:v>P1</x:v>
      </x:c>
      <x:c r="N100" s="22" t="str"/>
    </x:row>
    <x:row r="101" ht="34" customHeight="1">
      <x:c r="A101" s="18" t="n">
        <x:v>46351</x:v>
      </x:c>
      <x:c r="B101" t="str">
        <x:v>W07</x:v>
      </x:c>
      <x:c r="C101" t="str">
        <x:v>Wed</x:v>
      </x:c>
      <x:c r="D101" t="str">
        <x:v>Co-founder 2</x:v>
      </x:c>
      <x:c r="E101" t="str">
        <x:v>Engineering QA</x:v>
      </x:c>
      <x:c r="F101" t="str">
        <x:v>QA-024</x:v>
      </x:c>
      <x:c r="G101" s="22" t="str">
        <x:v>Compare invoice totals against fixture and rounding rules.</x:v>
      </x:c>
      <x:c r="H101" s="20" t="n">
        <x:v>1.05</x:v>
      </x:c>
      <x:c r="I101" t="str">
        <x:v>Not started</x:v>
      </x:c>
      <x:c r="J101" s="20"/>
      <x:c r="K101" t="str"/>
      <x:c r="L101" s="22" t="str"/>
      <x:c r="M101" t="str">
        <x:v>P0</x:v>
      </x:c>
      <x:c r="N101" s="22" t="str"/>
    </x:row>
    <x:row r="102" ht="34" customHeight="1">
      <x:c r="A102" s="18" t="n">
        <x:v>46352</x:v>
      </x:c>
      <x:c r="B102" t="str">
        <x:v>W07</x:v>
      </x:c>
      <x:c r="C102" t="str">
        <x:v>Thu</x:v>
      </x:c>
      <x:c r="D102" t="str">
        <x:v>Founder / CEO</x:v>
      </x:c>
      <x:c r="E102" t="str">
        <x:v>Engineering</x:v>
      </x:c>
      <x:c r="F102" t="str">
        <x:v>ENG-020</x:v>
      </x:c>
      <x:c r="G102" s="22" t="str">
        <x:v>Create persistent table renderer with sorting and pagination.</x:v>
      </x:c>
      <x:c r="H102" s="20" t="n">
        <x:v>2.5</x:v>
      </x:c>
      <x:c r="I102" t="str">
        <x:v>Not started</x:v>
      </x:c>
      <x:c r="J102" s="20"/>
      <x:c r="K102" t="str"/>
      <x:c r="L102" s="22" t="str"/>
      <x:c r="M102" t="str">
        <x:v>P0</x:v>
      </x:c>
      <x:c r="N102" s="22" t="str"/>
    </x:row>
    <x:row r="103" ht="34" customHeight="1">
      <x:c r="A103" s="18" t="n">
        <x:v>46352</x:v>
      </x:c>
      <x:c r="B103" t="str">
        <x:v>W07</x:v>
      </x:c>
      <x:c r="C103" t="str">
        <x:v>Thu</x:v>
      </x:c>
      <x:c r="D103" t="str">
        <x:v>Co-founder 1</x:v>
      </x:c>
      <x:c r="E103" t="str">
        <x:v>Sales</x:v>
      </x:c>
      <x:c r="F103" t="str">
        <x:v>SAL-015</x:v>
      </x:c>
      <x:c r="G103" s="22" t="str">
        <x:v>Qualify pilot data availability and owner permissions.</x:v>
      </x:c>
      <x:c r="H103" s="20" t="n">
        <x:v>1</x:v>
      </x:c>
      <x:c r="I103" t="str">
        <x:v>Not started</x:v>
      </x:c>
      <x:c r="J103" s="20"/>
      <x:c r="K103" t="str"/>
      <x:c r="L103" s="22" t="str"/>
      <x:c r="M103" t="str">
        <x:v>P1</x:v>
      </x:c>
      <x:c r="N103" s="22" t="str"/>
    </x:row>
    <x:row r="104" ht="34" customHeight="1">
      <x:c r="A104" s="18" t="n">
        <x:v>46352</x:v>
      </x:c>
      <x:c r="B104" t="str">
        <x:v>W07</x:v>
      </x:c>
      <x:c r="C104" t="str">
        <x:v>Thu</x:v>
      </x:c>
      <x:c r="D104" t="str">
        <x:v>Co-founder 2</x:v>
      </x:c>
      <x:c r="E104" t="str">
        <x:v>Engineering QA</x:v>
      </x:c>
      <x:c r="F104" t="str">
        <x:v>QA-025</x:v>
      </x:c>
      <x:c r="G104" s="22" t="str">
        <x:v>Test save, logout, login, reopening, edit permissions.</x:v>
      </x:c>
      <x:c r="H104" s="20" t="n">
        <x:v>1.05</x:v>
      </x:c>
      <x:c r="I104" t="str">
        <x:v>Not started</x:v>
      </x:c>
      <x:c r="J104" s="20"/>
      <x:c r="K104" t="str"/>
      <x:c r="L104" s="22" t="str"/>
      <x:c r="M104" t="str">
        <x:v>P0</x:v>
      </x:c>
      <x:c r="N104" s="22" t="str"/>
    </x:row>
    <x:row r="105" ht="34" customHeight="1">
      <x:c r="A105" s="18" t="n">
        <x:v>46353</x:v>
      </x:c>
      <x:c r="B105" t="str">
        <x:v>W07</x:v>
      </x:c>
      <x:c r="C105" t="str">
        <x:v>Fri</x:v>
      </x:c>
      <x:c r="D105" t="str">
        <x:v>Founder / CEO</x:v>
      </x:c>
      <x:c r="E105" t="str">
        <x:v>Sales</x:v>
      </x:c>
      <x:c r="F105" t="str">
        <x:v>SAL-016</x:v>
      </x:c>
      <x:c r="G105" s="22" t="str">
        <x:v>Demo saved table to first prospective design partner; record time-to-value.</x:v>
      </x:c>
      <x:c r="H105" s="20" t="n">
        <x:v>2</x:v>
      </x:c>
      <x:c r="I105" t="str">
        <x:v>Not started</x:v>
      </x:c>
      <x:c r="J105" s="20"/>
      <x:c r="K105" t="str"/>
      <x:c r="L105" s="22" t="str"/>
      <x:c r="M105" t="str">
        <x:v>P1</x:v>
      </x:c>
      <x:c r="N105" s="22" t="str"/>
    </x:row>
    <x:row r="106" ht="34" customHeight="1">
      <x:c r="A106" s="18" t="n">
        <x:v>46353</x:v>
      </x:c>
      <x:c r="B106" t="str">
        <x:v>W07</x:v>
      </x:c>
      <x:c r="C106" t="str">
        <x:v>Fri</x:v>
      </x:c>
      <x:c r="D106" t="str">
        <x:v>Co-founder 1</x:v>
      </x:c>
      <x:c r="E106" t="str">
        <x:v>Marketing</x:v>
      </x:c>
      <x:c r="F106" t="str">
        <x:v>MKT-014</x:v>
      </x:c>
      <x:c r="G106" s="22" t="str">
        <x:v>Collect objections from demo: trust, effort, privacy and price.</x:v>
      </x:c>
      <x:c r="H106" s="20" t="n">
        <x:v>1.25</x:v>
      </x:c>
      <x:c r="I106" t="str">
        <x:v>Not started</x:v>
      </x:c>
      <x:c r="J106" s="20"/>
      <x:c r="K106" t="str"/>
      <x:c r="L106" s="22" t="str"/>
      <x:c r="M106" t="str">
        <x:v>P1</x:v>
      </x:c>
      <x:c r="N106" s="22" t="str"/>
    </x:row>
    <x:row r="107" ht="34" customHeight="1">
      <x:c r="A107" s="18" t="n">
        <x:v>46353</x:v>
      </x:c>
      <x:c r="B107" t="str">
        <x:v>W07</x:v>
      </x:c>
      <x:c r="C107" t="str">
        <x:v>Fri</x:v>
      </x:c>
      <x:c r="D107" t="str">
        <x:v>Co-founder 2</x:v>
      </x:c>
      <x:c r="E107" t="str">
        <x:v>Operations</x:v>
      </x:c>
      <x:c r="F107" t="str">
        <x:v>OPS-021</x:v>
      </x:c>
      <x:c r="G107" s="22" t="str">
        <x:v>Draft onboarding steps from CSV upload to first table.</x:v>
      </x:c>
      <x:c r="H107" s="20" t="n">
        <x:v>0.9</x:v>
      </x:c>
      <x:c r="I107" t="str">
        <x:v>Not started</x:v>
      </x:c>
      <x:c r="J107" s="20"/>
      <x:c r="K107" t="str"/>
      <x:c r="L107" s="22" t="str"/>
      <x:c r="M107" t="str">
        <x:v>P1</x:v>
      </x:c>
      <x:c r="N107" s="22" t="str"/>
    </x:row>
    <x:row r="108" ht="34" customHeight="1">
      <x:c r="A108" s="18" t="n">
        <x:v>46356</x:v>
      </x:c>
      <x:c r="B108" t="str">
        <x:v>W07</x:v>
      </x:c>
      <x:c r="C108" t="str">
        <x:v>Mon</x:v>
      </x:c>
      <x:c r="D108" t="str">
        <x:v>Founder / CEO</x:v>
      </x:c>
      <x:c r="E108" t="str">
        <x:v>Finance</x:v>
      </x:c>
      <x:c r="F108" t="str">
        <x:v>FIN-007</x:v>
      </x:c>
      <x:c r="G108" s="22" t="str">
        <x:v>Estimate gross margin per typical create/query operation from actual usage.</x:v>
      </x:c>
      <x:c r="H108" s="20" t="n">
        <x:v>1.25</x:v>
      </x:c>
      <x:c r="I108" t="str">
        <x:v>Not started</x:v>
      </x:c>
      <x:c r="J108" s="20"/>
      <x:c r="K108" t="str"/>
      <x:c r="L108" s="22" t="str"/>
      <x:c r="M108" t="str">
        <x:v>P1</x:v>
      </x:c>
      <x:c r="N108" s="22" t="str">
        <x:v>Public holiday — shift work if unavailable</x:v>
      </x:c>
    </x:row>
    <x:row r="109" ht="34" customHeight="1">
      <x:c r="A109" s="18" t="n">
        <x:v>46356</x:v>
      </x:c>
      <x:c r="B109" t="str">
        <x:v>W07</x:v>
      </x:c>
      <x:c r="C109" t="str">
        <x:v>Mon</x:v>
      </x:c>
      <x:c r="D109" t="str">
        <x:v>Co-founder 1</x:v>
      </x:c>
      <x:c r="E109" t="str">
        <x:v>Operations</x:v>
      </x:c>
      <x:c r="F109" t="str">
        <x:v>OPS-022</x:v>
      </x:c>
      <x:c r="G109" s="22" t="str">
        <x:v>Rehearse restored artifact recovery and incident escalation.</x:v>
      </x:c>
      <x:c r="H109" s="20" t="n">
        <x:v>1.15</x:v>
      </x:c>
      <x:c r="I109" t="str">
        <x:v>Not started</x:v>
      </x:c>
      <x:c r="J109" s="20"/>
      <x:c r="K109" t="str"/>
      <x:c r="L109" s="22" t="str"/>
      <x:c r="M109" t="str">
        <x:v>P1</x:v>
      </x:c>
      <x:c r="N109" s="22" t="str">
        <x:v>Public holiday — shift work if unavailable</x:v>
      </x:c>
    </x:row>
    <x:row r="110" ht="34" customHeight="1">
      <x:c r="A110" s="18" t="n">
        <x:v>46356</x:v>
      </x:c>
      <x:c r="B110" t="str">
        <x:v>W07</x:v>
      </x:c>
      <x:c r="C110" t="str">
        <x:v>Mon</x:v>
      </x:c>
      <x:c r="D110" t="str">
        <x:v>Co-founder 2</x:v>
      </x:c>
      <x:c r="E110" t="str">
        <x:v>Engineering QA</x:v>
      </x:c>
      <x:c r="F110" t="str">
        <x:v>QA-026</x:v>
      </x:c>
      <x:c r="G110" s="22" t="str">
        <x:v>Conclude demo acceptance report with severity-ranked defects.</x:v>
      </x:c>
      <x:c r="H110" s="20" t="n">
        <x:v>1.05</x:v>
      </x:c>
      <x:c r="I110" t="str">
        <x:v>Not started</x:v>
      </x:c>
      <x:c r="J110" s="20"/>
      <x:c r="K110" t="str"/>
      <x:c r="L110" s="22" t="str"/>
      <x:c r="M110" t="str">
        <x:v>P0</x:v>
      </x:c>
      <x:c r="N110" s="22" t="str">
        <x:v>Public holiday — shift work if unavailable</x:v>
      </x:c>
    </x:row>
    <x:row r="111" ht="34" customHeight="1">
      <x:c r="A111" s="18" t="n">
        <x:v>46357</x:v>
      </x:c>
      <x:c r="B111" t="str">
        <x:v>W08</x:v>
      </x:c>
      <x:c r="C111" t="str">
        <x:v>Tue</x:v>
      </x:c>
      <x:c r="D111" t="str">
        <x:v>Founder / CEO</x:v>
      </x:c>
      <x:c r="E111" t="str">
        <x:v>Engineering</x:v>
      </x:c>
      <x:c r="F111" t="str">
        <x:v>ENG-021</x:v>
      </x:c>
      <x:c r="G111" s="22" t="str">
        <x:v>Implement chart specification validator and safe chart component mapping.</x:v>
      </x:c>
      <x:c r="H111" s="20" t="n">
        <x:v>2.5</x:v>
      </x:c>
      <x:c r="I111" t="str">
        <x:v>Not started</x:v>
      </x:c>
      <x:c r="J111" s="20"/>
      <x:c r="K111" t="str"/>
      <x:c r="L111" s="22" t="str"/>
      <x:c r="M111" t="str">
        <x:v>P0</x:v>
      </x:c>
      <x:c r="N111" s="22" t="str"/>
    </x:row>
    <x:row r="112" ht="34" customHeight="1">
      <x:c r="A112" s="18" t="n">
        <x:v>46357</x:v>
      </x:c>
      <x:c r="B112" t="str">
        <x:v>W08</x:v>
      </x:c>
      <x:c r="C112" t="str">
        <x:v>Tue</x:v>
      </x:c>
      <x:c r="D112" t="str">
        <x:v>Co-founder 1</x:v>
      </x:c>
      <x:c r="E112" t="str">
        <x:v>Marketing</x:v>
      </x:c>
      <x:c r="F112" t="str">
        <x:v>MKT-015</x:v>
      </x:c>
      <x:c r="G112" s="22" t="str">
        <x:v>Produce short demo capture with synthetic invoices.</x:v>
      </x:c>
      <x:c r="H112" s="20" t="n">
        <x:v>1.25</x:v>
      </x:c>
      <x:c r="I112" t="str">
        <x:v>Not started</x:v>
      </x:c>
      <x:c r="J112" s="20"/>
      <x:c r="K112" t="str"/>
      <x:c r="L112" s="22" t="str"/>
      <x:c r="M112" t="str">
        <x:v>P1</x:v>
      </x:c>
      <x:c r="N112" s="22" t="str"/>
    </x:row>
    <x:row r="113" ht="34" customHeight="1">
      <x:c r="A113" s="18" t="n">
        <x:v>46357</x:v>
      </x:c>
      <x:c r="B113" t="str">
        <x:v>W08</x:v>
      </x:c>
      <x:c r="C113" t="str">
        <x:v>Tue</x:v>
      </x:c>
      <x:c r="D113" t="str">
        <x:v>Co-founder 2</x:v>
      </x:c>
      <x:c r="E113" t="str">
        <x:v>Engineering QA</x:v>
      </x:c>
      <x:c r="F113" t="str">
        <x:v>QA-027</x:v>
      </x:c>
      <x:c r="G113" s="22" t="str">
        <x:v>Run 10 supported dashboard prompts against verified fixtures.</x:v>
      </x:c>
      <x:c r="H113" s="20" t="n">
        <x:v>1.05</x:v>
      </x:c>
      <x:c r="I113" t="str">
        <x:v>Not started</x:v>
      </x:c>
      <x:c r="J113" s="20"/>
      <x:c r="K113" t="str"/>
      <x:c r="L113" s="22" t="str"/>
      <x:c r="M113" t="str">
        <x:v>P0</x:v>
      </x:c>
      <x:c r="N113" s="22" t="str"/>
    </x:row>
    <x:row r="114" ht="34" customHeight="1">
      <x:c r="A114" s="18" t="n">
        <x:v>46358</x:v>
      </x:c>
      <x:c r="B114" t="str">
        <x:v>W08</x:v>
      </x:c>
      <x:c r="C114" t="str">
        <x:v>Wed</x:v>
      </x:c>
      <x:c r="D114" t="str">
        <x:v>Founder / CEO</x:v>
      </x:c>
      <x:c r="E114" t="str">
        <x:v>Engineering</x:v>
      </x:c>
      <x:c r="F114" t="str">
        <x:v>ENG-022</x:v>
      </x:c>
      <x:c r="G114" s="22" t="str">
        <x:v>Add dashboard composition, save/reload and edit behavior.</x:v>
      </x:c>
      <x:c r="H114" s="20" t="n">
        <x:v>2.5</x:v>
      </x:c>
      <x:c r="I114" t="str">
        <x:v>Not started</x:v>
      </x:c>
      <x:c r="J114" s="20"/>
      <x:c r="K114" t="str"/>
      <x:c r="L114" s="22" t="str"/>
      <x:c r="M114" t="str">
        <x:v>P0</x:v>
      </x:c>
      <x:c r="N114" s="22" t="str"/>
    </x:row>
    <x:row r="115" ht="34" customHeight="1">
      <x:c r="A115" s="18" t="n">
        <x:v>46358</x:v>
      </x:c>
      <x:c r="B115" t="str">
        <x:v>W08</x:v>
      </x:c>
      <x:c r="C115" t="str">
        <x:v>Wed</x:v>
      </x:c>
      <x:c r="D115" t="str">
        <x:v>Co-founder 1</x:v>
      </x:c>
      <x:c r="E115" t="str">
        <x:v>Operations</x:v>
      </x:c>
      <x:c r="F115" t="str">
        <x:v>OPS-023</x:v>
      </x:c>
      <x:c r="G115" s="22" t="str">
        <x:v>Set up product instrumentation for activation and error events.</x:v>
      </x:c>
      <x:c r="H115" s="20" t="n">
        <x:v>1.15</x:v>
      </x:c>
      <x:c r="I115" t="str">
        <x:v>Not started</x:v>
      </x:c>
      <x:c r="J115" s="20"/>
      <x:c r="K115" t="str"/>
      <x:c r="L115" s="22" t="str"/>
      <x:c r="M115" t="str">
        <x:v>P1</x:v>
      </x:c>
      <x:c r="N115" s="22" t="str"/>
    </x:row>
    <x:row r="116" ht="34" customHeight="1">
      <x:c r="A116" s="18" t="n">
        <x:v>46358</x:v>
      </x:c>
      <x:c r="B116" t="str">
        <x:v>W08</x:v>
      </x:c>
      <x:c r="C116" t="str">
        <x:v>Wed</x:v>
      </x:c>
      <x:c r="D116" t="str">
        <x:v>Co-founder 2</x:v>
      </x:c>
      <x:c r="E116" t="str">
        <x:v>Engineering QA</x:v>
      </x:c>
      <x:c r="F116" t="str">
        <x:v>QA-028</x:v>
      </x:c>
      <x:c r="G116" s="22" t="str">
        <x:v>Test incorrect/incomplete invoices and impossible visualization requests.</x:v>
      </x:c>
      <x:c r="H116" s="20" t="n">
        <x:v>1.05</x:v>
      </x:c>
      <x:c r="I116" t="str">
        <x:v>Not started</x:v>
      </x:c>
      <x:c r="J116" s="20"/>
      <x:c r="K116" t="str"/>
      <x:c r="L116" s="22" t="str"/>
      <x:c r="M116" t="str">
        <x:v>P0</x:v>
      </x:c>
      <x:c r="N116" s="22" t="str"/>
    </x:row>
    <x:row r="117" ht="34" customHeight="1">
      <x:c r="A117" s="18" t="n">
        <x:v>46359</x:v>
      </x:c>
      <x:c r="B117" t="str">
        <x:v>W08</x:v>
      </x:c>
      <x:c r="C117" t="str">
        <x:v>Thu</x:v>
      </x:c>
      <x:c r="D117" t="str">
        <x:v>Founder / CEO</x:v>
      </x:c>
      <x:c r="E117" t="str">
        <x:v>Engineering</x:v>
      </x:c>
      <x:c r="F117" t="str">
        <x:v>ENG-023</x:v>
      </x:c>
      <x:c r="G117" s="22" t="str">
        <x:v>Provide deterministic aggregations and missing-data warnings.</x:v>
      </x:c>
      <x:c r="H117" s="20" t="n">
        <x:v>2.5</x:v>
      </x:c>
      <x:c r="I117" t="str">
        <x:v>Not started</x:v>
      </x:c>
      <x:c r="J117" s="20"/>
      <x:c r="K117" t="str"/>
      <x:c r="L117" s="22" t="str"/>
      <x:c r="M117" t="str">
        <x:v>P0</x:v>
      </x:c>
      <x:c r="N117" s="22" t="str"/>
    </x:row>
    <x:row r="118" ht="34" customHeight="1">
      <x:c r="A118" s="18" t="n">
        <x:v>46359</x:v>
      </x:c>
      <x:c r="B118" t="str">
        <x:v>W08</x:v>
      </x:c>
      <x:c r="C118" t="str">
        <x:v>Thu</x:v>
      </x:c>
      <x:c r="D118" t="str">
        <x:v>Co-founder 1</x:v>
      </x:c>
      <x:c r="E118" t="str">
        <x:v>Sales</x:v>
      </x:c>
      <x:c r="F118" t="str">
        <x:v>SAL-017</x:v>
      </x:c>
      <x:c r="G118" s="22" t="str">
        <x:v>Document pricing feedback: monthly subscription versus scoped pilot.</x:v>
      </x:c>
      <x:c r="H118" s="20" t="n">
        <x:v>1</x:v>
      </x:c>
      <x:c r="I118" t="str">
        <x:v>Not started</x:v>
      </x:c>
      <x:c r="J118" s="20"/>
      <x:c r="K118" t="str"/>
      <x:c r="L118" s="22" t="str"/>
      <x:c r="M118" t="str">
        <x:v>P1</x:v>
      </x:c>
      <x:c r="N118" s="22" t="str"/>
    </x:row>
    <x:row r="119" ht="34" customHeight="1">
      <x:c r="A119" s="18" t="n">
        <x:v>46359</x:v>
      </x:c>
      <x:c r="B119" t="str">
        <x:v>W08</x:v>
      </x:c>
      <x:c r="C119" t="str">
        <x:v>Thu</x:v>
      </x:c>
      <x:c r="D119" t="str">
        <x:v>Co-founder 2</x:v>
      </x:c>
      <x:c r="E119" t="str">
        <x:v>Engineering QA</x:v>
      </x:c>
      <x:c r="F119" t="str">
        <x:v>QA-029</x:v>
      </x:c>
      <x:c r="G119" s="22" t="str">
        <x:v>Verify cross-tenant access denied for saved charts/dashboard.</x:v>
      </x:c>
      <x:c r="H119" s="20" t="n">
        <x:v>1.05</x:v>
      </x:c>
      <x:c r="I119" t="str">
        <x:v>Not started</x:v>
      </x:c>
      <x:c r="J119" s="20"/>
      <x:c r="K119" t="str"/>
      <x:c r="L119" s="22" t="str"/>
      <x:c r="M119" t="str">
        <x:v>P0</x:v>
      </x:c>
      <x:c r="N119" s="22" t="str"/>
    </x:row>
    <x:row r="120" ht="34" customHeight="1">
      <x:c r="A120" s="18" t="n">
        <x:v>46360</x:v>
      </x:c>
      <x:c r="B120" t="str">
        <x:v>W08</x:v>
      </x:c>
      <x:c r="C120" t="str">
        <x:v>Fri</x:v>
      </x:c>
      <x:c r="D120" t="str">
        <x:v>Founder / CEO</x:v>
      </x:c>
      <x:c r="E120" t="str">
        <x:v>Sales</x:v>
      </x:c>
      <x:c r="F120" t="str">
        <x:v>SAL-018</x:v>
      </x:c>
      <x:c r="G120" s="22" t="str">
        <x:v>Run 20-minute observed prototype demo; measure setup friction.</x:v>
      </x:c>
      <x:c r="H120" s="20" t="n">
        <x:v>2</x:v>
      </x:c>
      <x:c r="I120" t="str">
        <x:v>Not started</x:v>
      </x:c>
      <x:c r="J120" s="20"/>
      <x:c r="K120" t="str"/>
      <x:c r="L120" s="22" t="str"/>
      <x:c r="M120" t="str">
        <x:v>P1</x:v>
      </x:c>
      <x:c r="N120" s="22" t="str"/>
    </x:row>
    <x:row r="121" ht="34" customHeight="1">
      <x:c r="A121" s="18" t="n">
        <x:v>46360</x:v>
      </x:c>
      <x:c r="B121" t="str">
        <x:v>W08</x:v>
      </x:c>
      <x:c r="C121" t="str">
        <x:v>Fri</x:v>
      </x:c>
      <x:c r="D121" t="str">
        <x:v>Co-founder 1</x:v>
      </x:c>
      <x:c r="E121" t="str">
        <x:v>Marketing</x:v>
      </x:c>
      <x:c r="F121" t="str">
        <x:v>MKT-016</x:v>
      </x:c>
      <x:c r="G121" s="22" t="str">
        <x:v>Update landing page to match demonstrated features only.</x:v>
      </x:c>
      <x:c r="H121" s="20" t="n">
        <x:v>1.25</x:v>
      </x:c>
      <x:c r="I121" t="str">
        <x:v>Not started</x:v>
      </x:c>
      <x:c r="J121" s="20"/>
      <x:c r="K121" t="str"/>
      <x:c r="L121" s="22" t="str"/>
      <x:c r="M121" t="str">
        <x:v>P1</x:v>
      </x:c>
      <x:c r="N121" s="22" t="str"/>
    </x:row>
    <x:row r="122" ht="34" customHeight="1">
      <x:c r="A122" s="18" t="n">
        <x:v>46360</x:v>
      </x:c>
      <x:c r="B122" t="str">
        <x:v>W08</x:v>
      </x:c>
      <x:c r="C122" t="str">
        <x:v>Fri</x:v>
      </x:c>
      <x:c r="D122" t="str">
        <x:v>Co-founder 2</x:v>
      </x:c>
      <x:c r="E122" t="str">
        <x:v>Operations</x:v>
      </x:c>
      <x:c r="F122" t="str">
        <x:v>OPS-024</x:v>
      </x:c>
      <x:c r="G122" s="22" t="str">
        <x:v>Publish internal demonstration instructions and sample dataset.</x:v>
      </x:c>
      <x:c r="H122" s="20" t="n">
        <x:v>0.9</x:v>
      </x:c>
      <x:c r="I122" t="str">
        <x:v>Not started</x:v>
      </x:c>
      <x:c r="J122" s="20"/>
      <x:c r="K122" t="str"/>
      <x:c r="L122" s="22" t="str"/>
      <x:c r="M122" t="str">
        <x:v>P1</x:v>
      </x:c>
      <x:c r="N122" s="22" t="str"/>
    </x:row>
    <x:row r="123" ht="34" customHeight="1">
      <x:c r="A123" s="18" t="n">
        <x:v>46363</x:v>
      </x:c>
      <x:c r="B123" t="str">
        <x:v>W08</x:v>
      </x:c>
      <x:c r="C123" t="str">
        <x:v>Mon</x:v>
      </x:c>
      <x:c r="D123" t="str">
        <x:v>Founder / CEO</x:v>
      </x:c>
      <x:c r="E123" t="str">
        <x:v>Finance</x:v>
      </x:c>
      <x:c r="F123" t="str">
        <x:v>FIN-008</x:v>
      </x:c>
      <x:c r="G123" s="22" t="str">
        <x:v>Revise unit economics for dashboard generation and support time.</x:v>
      </x:c>
      <x:c r="H123" s="20" t="n">
        <x:v>1.25</x:v>
      </x:c>
      <x:c r="I123" t="str">
        <x:v>Not started</x:v>
      </x:c>
      <x:c r="J123" s="20"/>
      <x:c r="K123" t="str"/>
      <x:c r="L123" s="22" t="str"/>
      <x:c r="M123" t="str">
        <x:v>P1</x:v>
      </x:c>
      <x:c r="N123" s="22" t="str"/>
    </x:row>
    <x:row r="124" ht="34" customHeight="1">
      <x:c r="A124" s="18" t="n">
        <x:v>46363</x:v>
      </x:c>
      <x:c r="B124" t="str">
        <x:v>W08</x:v>
      </x:c>
      <x:c r="C124" t="str">
        <x:v>Mon</x:v>
      </x:c>
      <x:c r="D124" t="str">
        <x:v>Co-founder 1</x:v>
      </x:c>
      <x:c r="E124" t="str">
        <x:v>Operations</x:v>
      </x:c>
      <x:c r="F124" t="str">
        <x:v>OPS-025</x:v>
      </x:c>
      <x:c r="G124" s="22" t="str">
        <x:v>Hold demo-readiness review and set next phase acceptance criteria.</x:v>
      </x:c>
      <x:c r="H124" s="20" t="n">
        <x:v>1.15</x:v>
      </x:c>
      <x:c r="I124" t="str">
        <x:v>Not started</x:v>
      </x:c>
      <x:c r="J124" s="20"/>
      <x:c r="K124" t="str"/>
      <x:c r="L124" s="22" t="str"/>
      <x:c r="M124" t="str">
        <x:v>P1</x:v>
      </x:c>
      <x:c r="N124" s="22" t="str"/>
    </x:row>
    <x:row r="125" ht="34" customHeight="1">
      <x:c r="A125" s="18" t="n">
        <x:v>46363</x:v>
      </x:c>
      <x:c r="B125" t="str">
        <x:v>W08</x:v>
      </x:c>
      <x:c r="C125" t="str">
        <x:v>Mon</x:v>
      </x:c>
      <x:c r="D125" t="str">
        <x:v>Co-founder 2</x:v>
      </x:c>
      <x:c r="E125" t="str">
        <x:v>Engineering QA</x:v>
      </x:c>
      <x:c r="F125" t="str">
        <x:v>QA-030</x:v>
      </x:c>
      <x:c r="G125" s="22" t="str">
        <x:v>Record benchmark pass rate and fail causes.</x:v>
      </x:c>
      <x:c r="H125" s="20" t="n">
        <x:v>1.05</x:v>
      </x:c>
      <x:c r="I125" t="str">
        <x:v>Not started</x:v>
      </x:c>
      <x:c r="J125" s="20"/>
      <x:c r="K125" t="str"/>
      <x:c r="L125" s="22" t="str"/>
      <x:c r="M125" t="str">
        <x:v>P0</x:v>
      </x:c>
      <x:c r="N125" s="22" t="str"/>
    </x:row>
    <x:row r="126" ht="34" customHeight="1">
      <x:c r="A126" s="18" t="n">
        <x:v>46364</x:v>
      </x:c>
      <x:c r="B126" t="str">
        <x:v>W09</x:v>
      </x:c>
      <x:c r="C126" t="str">
        <x:v>Tue</x:v>
      </x:c>
      <x:c r="D126" t="str">
        <x:v>Founder / CEO</x:v>
      </x:c>
      <x:c r="E126" t="str">
        <x:v>Engineering</x:v>
      </x:c>
      <x:c r="F126" t="str">
        <x:v>ENG-024</x:v>
      </x:c>
      <x:c r="G126" s="22" t="str">
        <x:v>Design workflow state machine for scheduled dataset refresh.</x:v>
      </x:c>
      <x:c r="H126" s="20" t="n">
        <x:v>2.5</x:v>
      </x:c>
      <x:c r="I126" t="str">
        <x:v>Not started</x:v>
      </x:c>
      <x:c r="J126" s="20"/>
      <x:c r="K126" t="str"/>
      <x:c r="L126" s="22" t="str"/>
      <x:c r="M126" t="str">
        <x:v>P0</x:v>
      </x:c>
      <x:c r="N126" s="22" t="str">
        <x:v>Public holiday — flexible</x:v>
      </x:c>
    </x:row>
    <x:row r="127" ht="34" customHeight="1">
      <x:c r="A127" s="18" t="n">
        <x:v>46364</x:v>
      </x:c>
      <x:c r="B127" t="str">
        <x:v>W09</x:v>
      </x:c>
      <x:c r="C127" t="str">
        <x:v>Tue</x:v>
      </x:c>
      <x:c r="D127" t="str">
        <x:v>Co-founder 1</x:v>
      </x:c>
      <x:c r="E127" t="str">
        <x:v>Marketing</x:v>
      </x:c>
      <x:c r="F127" t="str">
        <x:v>MKT-017</x:v>
      </x:c>
      <x:c r="G127" s="22" t="str">
        <x:v>Create educational workflow example showing before/after steps.</x:v>
      </x:c>
      <x:c r="H127" s="20" t="n">
        <x:v>1.25</x:v>
      </x:c>
      <x:c r="I127" t="str">
        <x:v>Not started</x:v>
      </x:c>
      <x:c r="J127" s="20"/>
      <x:c r="K127" t="str"/>
      <x:c r="L127" s="22" t="str"/>
      <x:c r="M127" t="str">
        <x:v>P1</x:v>
      </x:c>
      <x:c r="N127" s="22" t="str">
        <x:v>Public holiday — flexible</x:v>
      </x:c>
    </x:row>
    <x:row r="128" ht="34" customHeight="1">
      <x:c r="A128" s="18" t="n">
        <x:v>46364</x:v>
      </x:c>
      <x:c r="B128" t="str">
        <x:v>W09</x:v>
      </x:c>
      <x:c r="C128" t="str">
        <x:v>Tue</x:v>
      </x:c>
      <x:c r="D128" t="str">
        <x:v>Co-founder 2</x:v>
      </x:c>
      <x:c r="E128" t="str">
        <x:v>Engineering QA</x:v>
      </x:c>
      <x:c r="F128" t="str">
        <x:v>QA-031</x:v>
      </x:c>
      <x:c r="G128" s="22" t="str">
        <x:v>Test duplicate scheduled execution and idempotency.</x:v>
      </x:c>
      <x:c r="H128" s="20" t="n">
        <x:v>1.05</x:v>
      </x:c>
      <x:c r="I128" t="str">
        <x:v>Not started</x:v>
      </x:c>
      <x:c r="J128" s="20"/>
      <x:c r="K128" t="str"/>
      <x:c r="L128" s="22" t="str"/>
      <x:c r="M128" t="str">
        <x:v>P0</x:v>
      </x:c>
      <x:c r="N128" s="22" t="str">
        <x:v>Public holiday — flexible</x:v>
      </x:c>
    </x:row>
    <x:row r="129" ht="34" customHeight="1">
      <x:c r="A129" s="18" t="n">
        <x:v>46365</x:v>
      </x:c>
      <x:c r="B129" t="str">
        <x:v>W09</x:v>
      </x:c>
      <x:c r="C129" t="str">
        <x:v>Wed</x:v>
      </x:c>
      <x:c r="D129" t="str">
        <x:v>Founder / CEO</x:v>
      </x:c>
      <x:c r="E129" t="str">
        <x:v>Engineering</x:v>
      </x:c>
      <x:c r="F129" t="str">
        <x:v>ENG-025</x:v>
      </x:c>
      <x:c r="G129" s="22" t="str">
        <x:v>Implement scheduler and idempotency keys on job runs.</x:v>
      </x:c>
      <x:c r="H129" s="20" t="n">
        <x:v>2.5</x:v>
      </x:c>
      <x:c r="I129" t="str">
        <x:v>Not started</x:v>
      </x:c>
      <x:c r="J129" s="20"/>
      <x:c r="K129" t="str"/>
      <x:c r="L129" s="22" t="str"/>
      <x:c r="M129" t="str">
        <x:v>P0</x:v>
      </x:c>
      <x:c r="N129" s="22" t="str"/>
    </x:row>
    <x:row r="130" ht="34" customHeight="1">
      <x:c r="A130" s="18" t="n">
        <x:v>46365</x:v>
      </x:c>
      <x:c r="B130" t="str">
        <x:v>W09</x:v>
      </x:c>
      <x:c r="C130" t="str">
        <x:v>Wed</x:v>
      </x:c>
      <x:c r="D130" t="str">
        <x:v>Co-founder 1</x:v>
      </x:c>
      <x:c r="E130" t="str">
        <x:v>Operations</x:v>
      </x:c>
      <x:c r="F130" t="str">
        <x:v>OPS-026</x:v>
      </x:c>
      <x:c r="G130" s="22" t="str">
        <x:v>Set error alerts, job logs and worker restart procedure.</x:v>
      </x:c>
      <x:c r="H130" s="20" t="n">
        <x:v>1.15</x:v>
      </x:c>
      <x:c r="I130" t="str">
        <x:v>Not started</x:v>
      </x:c>
      <x:c r="J130" s="20"/>
      <x:c r="K130" t="str"/>
      <x:c r="L130" s="22" t="str"/>
      <x:c r="M130" t="str">
        <x:v>P1</x:v>
      </x:c>
      <x:c r="N130" s="22" t="str"/>
    </x:row>
    <x:row r="131" ht="34" customHeight="1">
      <x:c r="A131" s="18" t="n">
        <x:v>46365</x:v>
      </x:c>
      <x:c r="B131" t="str">
        <x:v>W09</x:v>
      </x:c>
      <x:c r="C131" t="str">
        <x:v>Wed</x:v>
      </x:c>
      <x:c r="D131" t="str">
        <x:v>Co-founder 2</x:v>
      </x:c>
      <x:c r="E131" t="str">
        <x:v>Engineering QA</x:v>
      </x:c>
      <x:c r="F131" t="str">
        <x:v>QA-032</x:v>
      </x:c>
      <x:c r="G131" s="22" t="str">
        <x:v>Simulate workflow timeout, provider failure and retry exhaustion.</x:v>
      </x:c>
      <x:c r="H131" s="20" t="n">
        <x:v>1.05</x:v>
      </x:c>
      <x:c r="I131" t="str">
        <x:v>Not started</x:v>
      </x:c>
      <x:c r="J131" s="20"/>
      <x:c r="K131" t="str"/>
      <x:c r="L131" s="22" t="str"/>
      <x:c r="M131" t="str">
        <x:v>P0</x:v>
      </x:c>
      <x:c r="N131" s="22" t="str"/>
    </x:row>
    <x:row r="132" ht="34" customHeight="1">
      <x:c r="A132" s="18" t="n">
        <x:v>46366</x:v>
      </x:c>
      <x:c r="B132" t="str">
        <x:v>W09</x:v>
      </x:c>
      <x:c r="C132" t="str">
        <x:v>Thu</x:v>
      </x:c>
      <x:c r="D132" t="str">
        <x:v>Founder / CEO</x:v>
      </x:c>
      <x:c r="E132" t="str">
        <x:v>Engineering</x:v>
      </x:c>
      <x:c r="F132" t="str">
        <x:v>ENG-026</x:v>
      </x:c>
      <x:c r="G132" s="22" t="str">
        <x:v>Generate deterministic overdue/exception table on refreshed dataset.</x:v>
      </x:c>
      <x:c r="H132" s="20" t="n">
        <x:v>2.5</x:v>
      </x:c>
      <x:c r="I132" t="str">
        <x:v>Not started</x:v>
      </x:c>
      <x:c r="J132" s="20"/>
      <x:c r="K132" t="str"/>
      <x:c r="L132" s="22" t="str"/>
      <x:c r="M132" t="str">
        <x:v>P0</x:v>
      </x:c>
      <x:c r="N132" s="22" t="str"/>
    </x:row>
    <x:row r="133" ht="34" customHeight="1">
      <x:c r="A133" s="18" t="n">
        <x:v>46366</x:v>
      </x:c>
      <x:c r="B133" t="str">
        <x:v>W09</x:v>
      </x:c>
      <x:c r="C133" t="str">
        <x:v>Thu</x:v>
      </x:c>
      <x:c r="D133" t="str">
        <x:v>Co-founder 1</x:v>
      </x:c>
      <x:c r="E133" t="str">
        <x:v>Sales</x:v>
      </x:c>
      <x:c r="F133" t="str">
        <x:v>SAL-019</x:v>
      </x:c>
      <x:c r="G133" s="22" t="str">
        <x:v>Check pilot client approval of automation boundaries.</x:v>
      </x:c>
      <x:c r="H133" s="20" t="n">
        <x:v>1</x:v>
      </x:c>
      <x:c r="I133" t="str">
        <x:v>Not started</x:v>
      </x:c>
      <x:c r="J133" s="20"/>
      <x:c r="K133" t="str"/>
      <x:c r="L133" s="22" t="str"/>
      <x:c r="M133" t="str">
        <x:v>P1</x:v>
      </x:c>
      <x:c r="N133" s="22" t="str"/>
    </x:row>
    <x:row r="134" ht="34" customHeight="1">
      <x:c r="A134" s="18" t="n">
        <x:v>46366</x:v>
      </x:c>
      <x:c r="B134" t="str">
        <x:v>W09</x:v>
      </x:c>
      <x:c r="C134" t="str">
        <x:v>Thu</x:v>
      </x:c>
      <x:c r="D134" t="str">
        <x:v>Co-founder 2</x:v>
      </x:c>
      <x:c r="E134" t="str">
        <x:v>Engineering QA</x:v>
      </x:c>
      <x:c r="F134" t="str">
        <x:v>QA-033</x:v>
      </x:c>
      <x:c r="G134" s="22" t="str">
        <x:v>Verify user can pause workflow and inspect run history.</x:v>
      </x:c>
      <x:c r="H134" s="20" t="n">
        <x:v>1.05</x:v>
      </x:c>
      <x:c r="I134" t="str">
        <x:v>Not started</x:v>
      </x:c>
      <x:c r="J134" s="20"/>
      <x:c r="K134" t="str"/>
      <x:c r="L134" s="22" t="str"/>
      <x:c r="M134" t="str">
        <x:v>P0</x:v>
      </x:c>
      <x:c r="N134" s="22" t="str"/>
    </x:row>
    <x:row r="135" ht="34" customHeight="1">
      <x:c r="A135" s="18" t="n">
        <x:v>46367</x:v>
      </x:c>
      <x:c r="B135" t="str">
        <x:v>W09</x:v>
      </x:c>
      <x:c r="C135" t="str">
        <x:v>Fri</x:v>
      </x:c>
      <x:c r="D135" t="str">
        <x:v>Founder / CEO</x:v>
      </x:c>
      <x:c r="E135" t="str">
        <x:v>Sales</x:v>
      </x:c>
      <x:c r="F135" t="str">
        <x:v>SAL-020</x:v>
      </x:c>
      <x:c r="G135" s="22" t="str">
        <x:v>Validate whether weekly exception email is worth paying for.</x:v>
      </x:c>
      <x:c r="H135" s="20" t="n">
        <x:v>2</x:v>
      </x:c>
      <x:c r="I135" t="str">
        <x:v>Not started</x:v>
      </x:c>
      <x:c r="J135" s="20"/>
      <x:c r="K135" t="str"/>
      <x:c r="L135" s="22" t="str"/>
      <x:c r="M135" t="str">
        <x:v>P1</x:v>
      </x:c>
      <x:c r="N135" s="22" t="str"/>
    </x:row>
    <x:row r="136" ht="34" customHeight="1">
      <x:c r="A136" s="18" t="n">
        <x:v>46367</x:v>
      </x:c>
      <x:c r="B136" t="str">
        <x:v>W09</x:v>
      </x:c>
      <x:c r="C136" t="str">
        <x:v>Fri</x:v>
      </x:c>
      <x:c r="D136" t="str">
        <x:v>Co-founder 1</x:v>
      </x:c>
      <x:c r="E136" t="str">
        <x:v>Marketing</x:v>
      </x:c>
      <x:c r="F136" t="str">
        <x:v>MKT-018</x:v>
      </x:c>
      <x:c r="G136" s="22" t="str">
        <x:v>Prepare practical FAQ: what Opero does and does not automate.</x:v>
      </x:c>
      <x:c r="H136" s="20" t="n">
        <x:v>1.25</x:v>
      </x:c>
      <x:c r="I136" t="str">
        <x:v>Not started</x:v>
      </x:c>
      <x:c r="J136" s="20"/>
      <x:c r="K136" t="str"/>
      <x:c r="L136" s="22" t="str"/>
      <x:c r="M136" t="str">
        <x:v>P1</x:v>
      </x:c>
      <x:c r="N136" s="22" t="str"/>
    </x:row>
    <x:row r="137" ht="34" customHeight="1">
      <x:c r="A137" s="18" t="n">
        <x:v>46367</x:v>
      </x:c>
      <x:c r="B137" t="str">
        <x:v>W09</x:v>
      </x:c>
      <x:c r="C137" t="str">
        <x:v>Fri</x:v>
      </x:c>
      <x:c r="D137" t="str">
        <x:v>Co-founder 2</x:v>
      </x:c>
      <x:c r="E137" t="str">
        <x:v>Operations</x:v>
      </x:c>
      <x:c r="F137" t="str">
        <x:v>OPS-027</x:v>
      </x:c>
      <x:c r="G137" s="22" t="str">
        <x:v>Draft operator runbook for stuck/failed background jobs.</x:v>
      </x:c>
      <x:c r="H137" s="20" t="n">
        <x:v>0.9</x:v>
      </x:c>
      <x:c r="I137" t="str">
        <x:v>Not started</x:v>
      </x:c>
      <x:c r="J137" s="20"/>
      <x:c r="K137" t="str"/>
      <x:c r="L137" s="22" t="str"/>
      <x:c r="M137" t="str">
        <x:v>P1</x:v>
      </x:c>
      <x:c r="N137" s="22" t="str"/>
    </x:row>
    <x:row r="138" ht="34" customHeight="1">
      <x:c r="A138" s="18" t="n">
        <x:v>46370</x:v>
      </x:c>
      <x:c r="B138" t="str">
        <x:v>W09</x:v>
      </x:c>
      <x:c r="C138" t="str">
        <x:v>Mon</x:v>
      </x:c>
      <x:c r="D138" t="str">
        <x:v>Founder / CEO</x:v>
      </x:c>
      <x:c r="E138" t="str">
        <x:v>Finance</x:v>
      </x:c>
      <x:c r="F138" t="str">
        <x:v>FIN-009</x:v>
      </x:c>
      <x:c r="G138" s="22" t="str">
        <x:v>Measure workflow runs/month and estimate fair-use cost ceiling.</x:v>
      </x:c>
      <x:c r="H138" s="20" t="n">
        <x:v>1.25</x:v>
      </x:c>
      <x:c r="I138" t="str">
        <x:v>Not started</x:v>
      </x:c>
      <x:c r="J138" s="20"/>
      <x:c r="K138" t="str"/>
      <x:c r="L138" s="22" t="str"/>
      <x:c r="M138" t="str">
        <x:v>P1</x:v>
      </x:c>
      <x:c r="N138" s="22" t="str"/>
    </x:row>
    <x:row r="139" ht="34" customHeight="1">
      <x:c r="A139" s="18" t="n">
        <x:v>46370</x:v>
      </x:c>
      <x:c r="B139" t="str">
        <x:v>W09</x:v>
      </x:c>
      <x:c r="C139" t="str">
        <x:v>Mon</x:v>
      </x:c>
      <x:c r="D139" t="str">
        <x:v>Co-founder 1</x:v>
      </x:c>
      <x:c r="E139" t="str">
        <x:v>Operations</x:v>
      </x:c>
      <x:c r="F139" t="str">
        <x:v>OPS-028</x:v>
      </x:c>
      <x:c r="G139" s="22" t="str">
        <x:v>Run workflow recovery rehearsal and record operational issues.</x:v>
      </x:c>
      <x:c r="H139" s="20" t="n">
        <x:v>1.15</x:v>
      </x:c>
      <x:c r="I139" t="str">
        <x:v>Not started</x:v>
      </x:c>
      <x:c r="J139" s="20"/>
      <x:c r="K139" t="str"/>
      <x:c r="L139" s="22" t="str"/>
      <x:c r="M139" t="str">
        <x:v>P1</x:v>
      </x:c>
      <x:c r="N139" s="22" t="str"/>
    </x:row>
    <x:row r="140" ht="34" customHeight="1">
      <x:c r="A140" s="18" t="n">
        <x:v>46370</x:v>
      </x:c>
      <x:c r="B140" t="str">
        <x:v>W09</x:v>
      </x:c>
      <x:c r="C140" t="str">
        <x:v>Mon</x:v>
      </x:c>
      <x:c r="D140" t="str">
        <x:v>Co-founder 2</x:v>
      </x:c>
      <x:c r="E140" t="str">
        <x:v>Engineering QA</x:v>
      </x:c>
      <x:c r="F140" t="str">
        <x:v>QA-034</x:v>
      </x:c>
      <x:c r="G140" s="22" t="str">
        <x:v>Execute workflow safety regression and track blockers.</x:v>
      </x:c>
      <x:c r="H140" s="20" t="n">
        <x:v>1.05</x:v>
      </x:c>
      <x:c r="I140" t="str">
        <x:v>Not started</x:v>
      </x:c>
      <x:c r="J140" s="20"/>
      <x:c r="K140" t="str"/>
      <x:c r="L140" s="22" t="str"/>
      <x:c r="M140" t="str">
        <x:v>P0</x:v>
      </x:c>
      <x:c r="N140" s="22" t="str"/>
    </x:row>
    <x:row r="141" ht="34" customHeight="1">
      <x:c r="A141" s="18" t="n">
        <x:v>46371</x:v>
      </x:c>
      <x:c r="B141" t="str">
        <x:v>W10</x:v>
      </x:c>
      <x:c r="C141" t="str">
        <x:v>Tue</x:v>
      </x:c>
      <x:c r="D141" t="str">
        <x:v>Founder / CEO</x:v>
      </x:c>
      <x:c r="E141" t="str">
        <x:v>Engineering</x:v>
      </x:c>
      <x:c r="F141" t="str">
        <x:v>ENG-027</x:v>
      </x:c>
      <x:c r="G141" s="22" t="str">
        <x:v>Implement per-tenant AI call and workflow step usage ledger.</x:v>
      </x:c>
      <x:c r="H141" s="20" t="n">
        <x:v>2.5</x:v>
      </x:c>
      <x:c r="I141" t="str">
        <x:v>Not started</x:v>
      </x:c>
      <x:c r="J141" s="20"/>
      <x:c r="K141" t="str"/>
      <x:c r="L141" s="22" t="str"/>
      <x:c r="M141" t="str">
        <x:v>P0</x:v>
      </x:c>
      <x:c r="N141" s="22" t="str"/>
    </x:row>
    <x:row r="142" ht="34" customHeight="1">
      <x:c r="A142" s="18" t="n">
        <x:v>46371</x:v>
      </x:c>
      <x:c r="B142" t="str">
        <x:v>W10</x:v>
      </x:c>
      <x:c r="C142" t="str">
        <x:v>Tue</x:v>
      </x:c>
      <x:c r="D142" t="str">
        <x:v>Co-founder 1</x:v>
      </x:c>
      <x:c r="E142" t="str">
        <x:v>Marketing</x:v>
      </x:c>
      <x:c r="F142" t="str">
        <x:v>MKT-019</x:v>
      </x:c>
      <x:c r="G142" s="22" t="str">
        <x:v>Create pilot FAQ and transparent limitations page.</x:v>
      </x:c>
      <x:c r="H142" s="20" t="n">
        <x:v>1.25</x:v>
      </x:c>
      <x:c r="I142" t="str">
        <x:v>Not started</x:v>
      </x:c>
      <x:c r="J142" s="20"/>
      <x:c r="K142" t="str"/>
      <x:c r="L142" s="22" t="str"/>
      <x:c r="M142" t="str">
        <x:v>P1</x:v>
      </x:c>
      <x:c r="N142" s="22" t="str"/>
    </x:row>
    <x:row r="143" ht="34" customHeight="1">
      <x:c r="A143" s="18" t="n">
        <x:v>46371</x:v>
      </x:c>
      <x:c r="B143" t="str">
        <x:v>W10</x:v>
      </x:c>
      <x:c r="C143" t="str">
        <x:v>Tue</x:v>
      </x:c>
      <x:c r="D143" t="str">
        <x:v>Co-founder 2</x:v>
      </x:c>
      <x:c r="E143" t="str">
        <x:v>Engineering QA</x:v>
      </x:c>
      <x:c r="F143" t="str">
        <x:v>QA-035</x:v>
      </x:c>
      <x:c r="G143" s="22" t="str">
        <x:v>Test above-quota AI request and zero-balance cases.</x:v>
      </x:c>
      <x:c r="H143" s="20" t="n">
        <x:v>1.05</x:v>
      </x:c>
      <x:c r="I143" t="str">
        <x:v>Not started</x:v>
      </x:c>
      <x:c r="J143" s="20"/>
      <x:c r="K143" t="str"/>
      <x:c r="L143" s="22" t="str"/>
      <x:c r="M143" t="str">
        <x:v>P0</x:v>
      </x:c>
      <x:c r="N143" s="22" t="str"/>
    </x:row>
    <x:row r="144" ht="34" customHeight="1">
      <x:c r="A144" s="18" t="n">
        <x:v>46372</x:v>
      </x:c>
      <x:c r="B144" t="str">
        <x:v>W10</x:v>
      </x:c>
      <x:c r="C144" t="str">
        <x:v>Wed</x:v>
      </x:c>
      <x:c r="D144" t="str">
        <x:v>Founder / CEO</x:v>
      </x:c>
      <x:c r="E144" t="str">
        <x:v>Engineering</x:v>
      </x:c>
      <x:c r="F144" t="str">
        <x:v>ENG-028</x:v>
      </x:c>
      <x:c r="G144" s="22" t="str">
        <x:v>Add quota checks, hard stops and user-visible budget status.</x:v>
      </x:c>
      <x:c r="H144" s="20" t="n">
        <x:v>2.5</x:v>
      </x:c>
      <x:c r="I144" t="str">
        <x:v>Not started</x:v>
      </x:c>
      <x:c r="J144" s="20"/>
      <x:c r="K144" t="str"/>
      <x:c r="L144" s="22" t="str"/>
      <x:c r="M144" t="str">
        <x:v>P0</x:v>
      </x:c>
      <x:c r="N144" s="22" t="str"/>
    </x:row>
    <x:row r="145" ht="34" customHeight="1">
      <x:c r="A145" s="18" t="n">
        <x:v>46372</x:v>
      </x:c>
      <x:c r="B145" t="str">
        <x:v>W10</x:v>
      </x:c>
      <x:c r="C145" t="str">
        <x:v>Wed</x:v>
      </x:c>
      <x:c r="D145" t="str">
        <x:v>Co-founder 1</x:v>
      </x:c>
      <x:c r="E145" t="str">
        <x:v>Operations</x:v>
      </x:c>
      <x:c r="F145" t="str">
        <x:v>OPS-029</x:v>
      </x:c>
      <x:c r="G145" s="22" t="str">
        <x:v>Audit production/staging separation and least-privilege deployment.</x:v>
      </x:c>
      <x:c r="H145" s="20" t="n">
        <x:v>1.15</x:v>
      </x:c>
      <x:c r="I145" t="str">
        <x:v>Not started</x:v>
      </x:c>
      <x:c r="J145" s="20"/>
      <x:c r="K145" t="str"/>
      <x:c r="L145" s="22" t="str"/>
      <x:c r="M145" t="str">
        <x:v>P1</x:v>
      </x:c>
      <x:c r="N145" s="22" t="str"/>
    </x:row>
    <x:row r="146" ht="34" customHeight="1">
      <x:c r="A146" s="18" t="n">
        <x:v>46372</x:v>
      </x:c>
      <x:c r="B146" t="str">
        <x:v>W10</x:v>
      </x:c>
      <x:c r="C146" t="str">
        <x:v>Wed</x:v>
      </x:c>
      <x:c r="D146" t="str">
        <x:v>Co-founder 2</x:v>
      </x:c>
      <x:c r="E146" t="str">
        <x:v>Engineering QA</x:v>
      </x:c>
      <x:c r="F146" t="str">
        <x:v>QA-036</x:v>
      </x:c>
      <x:c r="G146" s="22" t="str">
        <x:v>Verify access to original files, exports and deletion request flows.</x:v>
      </x:c>
      <x:c r="H146" s="20" t="n">
        <x:v>1.05</x:v>
      </x:c>
      <x:c r="I146" t="str">
        <x:v>Not started</x:v>
      </x:c>
      <x:c r="J146" s="20"/>
      <x:c r="K146" t="str"/>
      <x:c r="L146" s="22" t="str"/>
      <x:c r="M146" t="str">
        <x:v>P0</x:v>
      </x:c>
      <x:c r="N146" s="22" t="str"/>
    </x:row>
    <x:row r="147" ht="34" customHeight="1">
      <x:c r="A147" s="18" t="n">
        <x:v>46373</x:v>
      </x:c>
      <x:c r="B147" t="str">
        <x:v>W10</x:v>
      </x:c>
      <x:c r="C147" t="str">
        <x:v>Thu</x:v>
      </x:c>
      <x:c r="D147" t="str">
        <x:v>Founder / CEO</x:v>
      </x:c>
      <x:c r="E147" t="str">
        <x:v>Engineering</x:v>
      </x:c>
      <x:c r="F147" t="str">
        <x:v>ENG-029</x:v>
      </x:c>
      <x:c r="G147" s="22" t="str">
        <x:v>Fix release-blocking security and data accuracy defects.</x:v>
      </x:c>
      <x:c r="H147" s="20" t="n">
        <x:v>2.5</x:v>
      </x:c>
      <x:c r="I147" t="str">
        <x:v>Not started</x:v>
      </x:c>
      <x:c r="J147" s="20"/>
      <x:c r="K147" t="str"/>
      <x:c r="L147" s="22" t="str"/>
      <x:c r="M147" t="str">
        <x:v>P0</x:v>
      </x:c>
      <x:c r="N147" s="22" t="str"/>
    </x:row>
    <x:row r="148" ht="34" customHeight="1">
      <x:c r="A148" s="18" t="n">
        <x:v>46373</x:v>
      </x:c>
      <x:c r="B148" t="str">
        <x:v>W10</x:v>
      </x:c>
      <x:c r="C148" t="str">
        <x:v>Thu</x:v>
      </x:c>
      <x:c r="D148" t="str">
        <x:v>Co-founder 1</x:v>
      </x:c>
      <x:c r="E148" t="str">
        <x:v>Sales</x:v>
      </x:c>
      <x:c r="F148" t="str">
        <x:v>SAL-021</x:v>
      </x:c>
      <x:c r="G148" s="22" t="str">
        <x:v>Confirm pilot kickoff schedule and written data-use permission.</x:v>
      </x:c>
      <x:c r="H148" s="20" t="n">
        <x:v>1</x:v>
      </x:c>
      <x:c r="I148" t="str">
        <x:v>Not started</x:v>
      </x:c>
      <x:c r="J148" s="20"/>
      <x:c r="K148" t="str"/>
      <x:c r="L148" s="22" t="str"/>
      <x:c r="M148" t="str">
        <x:v>P1</x:v>
      </x:c>
      <x:c r="N148" s="22" t="str"/>
    </x:row>
    <x:row r="149" ht="34" customHeight="1">
      <x:c r="A149" s="18" t="n">
        <x:v>46373</x:v>
      </x:c>
      <x:c r="B149" t="str">
        <x:v>W10</x:v>
      </x:c>
      <x:c r="C149" t="str">
        <x:v>Thu</x:v>
      </x:c>
      <x:c r="D149" t="str">
        <x:v>Co-founder 2</x:v>
      </x:c>
      <x:c r="E149" t="str">
        <x:v>Engineering QA</x:v>
      </x:c>
      <x:c r="F149" t="str">
        <x:v>QA-037</x:v>
      </x:c>
      <x:c r="G149" s="22" t="str">
        <x:v>Run end-to-end synthetic user journey with no operator intervention.</x:v>
      </x:c>
      <x:c r="H149" s="20" t="n">
        <x:v>1.05</x:v>
      </x:c>
      <x:c r="I149" t="str">
        <x:v>Not started</x:v>
      </x:c>
      <x:c r="J149" s="20"/>
      <x:c r="K149" t="str"/>
      <x:c r="L149" s="22" t="str"/>
      <x:c r="M149" t="str">
        <x:v>P0</x:v>
      </x:c>
      <x:c r="N149" s="22" t="str"/>
    </x:row>
    <x:row r="150" ht="34" customHeight="1">
      <x:c r="A150" s="18" t="n">
        <x:v>46374</x:v>
      </x:c>
      <x:c r="B150" t="str">
        <x:v>W10</x:v>
      </x:c>
      <x:c r="C150" t="str">
        <x:v>Fri</x:v>
      </x:c>
      <x:c r="D150" t="str">
        <x:v>Founder / CEO</x:v>
      </x:c>
      <x:c r="E150" t="str">
        <x:v>Sales</x:v>
      </x:c>
      <x:c r="F150" t="str">
        <x:v>SAL-022</x:v>
      </x:c>
      <x:c r="G150" s="22" t="str">
        <x:v>Agree measurable pilot scope and success criteria with two partners.</x:v>
      </x:c>
      <x:c r="H150" s="20" t="n">
        <x:v>2</x:v>
      </x:c>
      <x:c r="I150" t="str">
        <x:v>Not started</x:v>
      </x:c>
      <x:c r="J150" s="20"/>
      <x:c r="K150" t="str"/>
      <x:c r="L150" s="22" t="str"/>
      <x:c r="M150" t="str">
        <x:v>P1</x:v>
      </x:c>
      <x:c r="N150" s="22" t="str"/>
    </x:row>
    <x:row r="151" ht="34" customHeight="1">
      <x:c r="A151" s="18" t="n">
        <x:v>46374</x:v>
      </x:c>
      <x:c r="B151" t="str">
        <x:v>W10</x:v>
      </x:c>
      <x:c r="C151" t="str">
        <x:v>Fri</x:v>
      </x:c>
      <x:c r="D151" t="str">
        <x:v>Co-founder 1</x:v>
      </x:c>
      <x:c r="E151" t="str">
        <x:v>Marketing</x:v>
      </x:c>
      <x:c r="F151" t="str">
        <x:v>MKT-020</x:v>
      </x:c>
      <x:c r="G151" s="22" t="str">
        <x:v>Prepare customer-facing error/help documentation.</x:v>
      </x:c>
      <x:c r="H151" s="20" t="n">
        <x:v>1.25</x:v>
      </x:c>
      <x:c r="I151" t="str">
        <x:v>Not started</x:v>
      </x:c>
      <x:c r="J151" s="20"/>
      <x:c r="K151" t="str"/>
      <x:c r="L151" s="22" t="str"/>
      <x:c r="M151" t="str">
        <x:v>P1</x:v>
      </x:c>
      <x:c r="N151" s="22" t="str"/>
    </x:row>
    <x:row r="152" ht="34" customHeight="1">
      <x:c r="A152" s="18" t="n">
        <x:v>46374</x:v>
      </x:c>
      <x:c r="B152" t="str">
        <x:v>W10</x:v>
      </x:c>
      <x:c r="C152" t="str">
        <x:v>Fri</x:v>
      </x:c>
      <x:c r="D152" t="str">
        <x:v>Co-founder 2</x:v>
      </x:c>
      <x:c r="E152" t="str">
        <x:v>Operations</x:v>
      </x:c>
      <x:c r="F152" t="str">
        <x:v>OPS-030</x:v>
      </x:c>
      <x:c r="G152" s="22" t="str">
        <x:v>Complete pilot onboarding checklist and support triage tracker.</x:v>
      </x:c>
      <x:c r="H152" s="20" t="n">
        <x:v>0.9</x:v>
      </x:c>
      <x:c r="I152" t="str">
        <x:v>Not started</x:v>
      </x:c>
      <x:c r="J152" s="20"/>
      <x:c r="K152" t="str"/>
      <x:c r="L152" s="22" t="str"/>
      <x:c r="M152" t="str">
        <x:v>P1</x:v>
      </x:c>
      <x:c r="N152" s="22" t="str"/>
    </x:row>
    <x:row r="153" ht="34" customHeight="1">
      <x:c r="A153" s="18" t="n">
        <x:v>46377</x:v>
      </x:c>
      <x:c r="B153" t="str">
        <x:v>W10</x:v>
      </x:c>
      <x:c r="C153" t="str">
        <x:v>Mon</x:v>
      </x:c>
      <x:c r="D153" t="str">
        <x:v>Founder / CEO</x:v>
      </x:c>
      <x:c r="E153" t="str">
        <x:v>Finance</x:v>
      </x:c>
      <x:c r="F153" t="str">
        <x:v>FIN-010</x:v>
      </x:c>
      <x:c r="G153" s="22" t="str">
        <x:v>Approve pilot pricing, top-up rules and written cost ceilings.</x:v>
      </x:c>
      <x:c r="H153" s="20" t="n">
        <x:v>1.25</x:v>
      </x:c>
      <x:c r="I153" t="str">
        <x:v>Not started</x:v>
      </x:c>
      <x:c r="J153" s="20"/>
      <x:c r="K153" t="str"/>
      <x:c r="L153" s="22" t="str"/>
      <x:c r="M153" t="str">
        <x:v>P0</x:v>
      </x:c>
      <x:c r="N153" s="22" t="str"/>
    </x:row>
    <x:row r="154" ht="34" customHeight="1">
      <x:c r="A154" s="18" t="n">
        <x:v>46377</x:v>
      </x:c>
      <x:c r="B154" t="str">
        <x:v>W10</x:v>
      </x:c>
      <x:c r="C154" t="str">
        <x:v>Mon</x:v>
      </x:c>
      <x:c r="D154" t="str">
        <x:v>Co-founder 1</x:v>
      </x:c>
      <x:c r="E154" t="str">
        <x:v>Operations</x:v>
      </x:c>
      <x:c r="F154" t="str">
        <x:v>OPS-031</x:v>
      </x:c>
      <x:c r="G154" s="22" t="str">
        <x:v>Conduct final pilot readiness review; record approval or deferral.</x:v>
      </x:c>
      <x:c r="H154" s="20" t="n">
        <x:v>1.15</x:v>
      </x:c>
      <x:c r="I154" t="str">
        <x:v>Not started</x:v>
      </x:c>
      <x:c r="J154" s="20"/>
      <x:c r="K154" t="str"/>
      <x:c r="L154" s="22" t="str"/>
      <x:c r="M154" t="str">
        <x:v>P1</x:v>
      </x:c>
      <x:c r="N154" s="22" t="str"/>
    </x:row>
    <x:row r="155" ht="34" customHeight="1">
      <x:c r="A155" s="18" t="n">
        <x:v>46377</x:v>
      </x:c>
      <x:c r="B155" t="str">
        <x:v>W10</x:v>
      </x:c>
      <x:c r="C155" t="str">
        <x:v>Mon</x:v>
      </x:c>
      <x:c r="D155" t="str">
        <x:v>Co-founder 2</x:v>
      </x:c>
      <x:c r="E155" t="str">
        <x:v>Engineering QA</x:v>
      </x:c>
      <x:c r="F155" t="str">
        <x:v>QA-038</x:v>
      </x:c>
      <x:c r="G155" s="22" t="str">
        <x:v>Sign off test evidence; explicitly block unresolved P0 defects.</x:v>
      </x:c>
      <x:c r="H155" s="20" t="n">
        <x:v>1.05</x:v>
      </x:c>
      <x:c r="I155" t="str">
        <x:v>Not started</x:v>
      </x:c>
      <x:c r="J155" s="20"/>
      <x:c r="K155" t="str"/>
      <x:c r="L155" s="22" t="str"/>
      <x:c r="M155" t="str">
        <x:v>P0</x:v>
      </x:c>
      <x:c r="N155" s="22" t="str"/>
    </x:row>
    <x:row r="156" ht="34" customHeight="1">
      <x:c r="A156" s="18" t="n">
        <x:v>46378</x:v>
      </x:c>
      <x:c r="B156" t="str">
        <x:v>W11</x:v>
      </x:c>
      <x:c r="C156" t="str">
        <x:v>Tue</x:v>
      </x:c>
      <x:c r="D156" t="str">
        <x:v>Founder / CEO</x:v>
      </x:c>
      <x:c r="E156" t="str">
        <x:v>Sales</x:v>
      </x:c>
      <x:c r="F156" t="str">
        <x:v>SAL-023</x:v>
      </x:c>
      <x:c r="G156" s="22" t="str">
        <x:v>Onboard pilot A and record prior manual process baseline; move if holiday.</x:v>
      </x:c>
      <x:c r="H156" s="20" t="n">
        <x:v>2</x:v>
      </x:c>
      <x:c r="I156" t="str">
        <x:v>Not started</x:v>
      </x:c>
      <x:c r="J156" s="20"/>
      <x:c r="K156" t="str"/>
      <x:c r="L156" s="22" t="str"/>
      <x:c r="M156" t="str">
        <x:v>P1</x:v>
      </x:c>
      <x:c r="N156" s="22" t="str"/>
    </x:row>
    <x:row r="157" ht="34" customHeight="1">
      <x:c r="A157" s="18" t="n">
        <x:v>46378</x:v>
      </x:c>
      <x:c r="B157" t="str">
        <x:v>W11</x:v>
      </x:c>
      <x:c r="C157" t="str">
        <x:v>Tue</x:v>
      </x:c>
      <x:c r="D157" t="str">
        <x:v>Co-founder 1</x:v>
      </x:c>
      <x:c r="E157" t="str">
        <x:v>Operations</x:v>
      </x:c>
      <x:c r="F157" t="str">
        <x:v>OPS-032</x:v>
      </x:c>
      <x:c r="G157" s="22" t="str">
        <x:v>Prepare safe pilot account and narrow data access.</x:v>
      </x:c>
      <x:c r="H157" s="20" t="n">
        <x:v>1.15</x:v>
      </x:c>
      <x:c r="I157" t="str">
        <x:v>Not started</x:v>
      </x:c>
      <x:c r="J157" s="20"/>
      <x:c r="K157" t="str"/>
      <x:c r="L157" s="22" t="str"/>
      <x:c r="M157" t="str">
        <x:v>P1</x:v>
      </x:c>
      <x:c r="N157" s="22" t="str"/>
    </x:row>
    <x:row r="158" ht="34" customHeight="1">
      <x:c r="A158" s="18" t="n">
        <x:v>46378</x:v>
      </x:c>
      <x:c r="B158" t="str">
        <x:v>W11</x:v>
      </x:c>
      <x:c r="C158" t="str">
        <x:v>Tue</x:v>
      </x:c>
      <x:c r="D158" t="str">
        <x:v>Co-founder 2</x:v>
      </x:c>
      <x:c r="E158" t="str">
        <x:v>Engineering QA</x:v>
      </x:c>
      <x:c r="F158" t="str">
        <x:v>QA-039</x:v>
      </x:c>
      <x:c r="G158" s="22" t="str">
        <x:v>Run pre-pilot access and backup checks.</x:v>
      </x:c>
      <x:c r="H158" s="20" t="n">
        <x:v>1.05</x:v>
      </x:c>
      <x:c r="I158" t="str">
        <x:v>Not started</x:v>
      </x:c>
      <x:c r="J158" s="20"/>
      <x:c r="K158" t="str"/>
      <x:c r="L158" s="22" t="str"/>
      <x:c r="M158" t="str">
        <x:v>P0</x:v>
      </x:c>
      <x:c r="N158" s="22" t="str"/>
    </x:row>
    <x:row r="159" ht="34" customHeight="1">
      <x:c r="A159" s="18" t="n">
        <x:v>46379</x:v>
      </x:c>
      <x:c r="B159" t="str">
        <x:v>W11</x:v>
      </x:c>
      <x:c r="C159" t="str">
        <x:v>Wed</x:v>
      </x:c>
      <x:c r="D159" t="str">
        <x:v>Founder / CEO</x:v>
      </x:c>
      <x:c r="E159" t="str">
        <x:v>Engineering</x:v>
      </x:c>
      <x:c r="F159" t="str">
        <x:v>ENG-030</x:v>
      </x:c>
      <x:c r="G159" s="22" t="str">
        <x:v>Support controlled first import and fix critical parser failures.</x:v>
      </x:c>
      <x:c r="H159" s="20" t="n">
        <x:v>2.5</x:v>
      </x:c>
      <x:c r="I159" t="str">
        <x:v>Not started</x:v>
      </x:c>
      <x:c r="J159" s="20"/>
      <x:c r="K159" t="str"/>
      <x:c r="L159" s="22" t="str"/>
      <x:c r="M159" t="str">
        <x:v>P0</x:v>
      </x:c>
      <x:c r="N159" s="22" t="str"/>
    </x:row>
    <x:row r="160" ht="34" customHeight="1">
      <x:c r="A160" s="18" t="n">
        <x:v>46379</x:v>
      </x:c>
      <x:c r="B160" t="str">
        <x:v>W11</x:v>
      </x:c>
      <x:c r="C160" t="str">
        <x:v>Wed</x:v>
      </x:c>
      <x:c r="D160" t="str">
        <x:v>Co-founder 1</x:v>
      </x:c>
      <x:c r="E160" t="str">
        <x:v>Marketing</x:v>
      </x:c>
      <x:c r="F160" t="str">
        <x:v>MKT-021</x:v>
      </x:c>
      <x:c r="G160" s="22" t="str">
        <x:v>Document anonymized pilot journey only with explicit consent.</x:v>
      </x:c>
      <x:c r="H160" s="20" t="n">
        <x:v>1.25</x:v>
      </x:c>
      <x:c r="I160" t="str">
        <x:v>Not started</x:v>
      </x:c>
      <x:c r="J160" s="20"/>
      <x:c r="K160" t="str"/>
      <x:c r="L160" s="22" t="str"/>
      <x:c r="M160" t="str">
        <x:v>P1</x:v>
      </x:c>
      <x:c r="N160" s="22" t="str"/>
    </x:row>
    <x:row r="161" ht="34" customHeight="1">
      <x:c r="A161" s="18" t="n">
        <x:v>46379</x:v>
      </x:c>
      <x:c r="B161" t="str">
        <x:v>W11</x:v>
      </x:c>
      <x:c r="C161" t="str">
        <x:v>Wed</x:v>
      </x:c>
      <x:c r="D161" t="str">
        <x:v>Co-founder 2</x:v>
      </x:c>
      <x:c r="E161" t="str">
        <x:v>Engineering QA</x:v>
      </x:c>
      <x:c r="F161" t="str">
        <x:v>QA-040</x:v>
      </x:c>
      <x:c r="G161" s="22" t="str">
        <x:v>Compare selected pilot outputs to manually checked source totals.</x:v>
      </x:c>
      <x:c r="H161" s="20" t="n">
        <x:v>1.05</x:v>
      </x:c>
      <x:c r="I161" t="str">
        <x:v>Not started</x:v>
      </x:c>
      <x:c r="J161" s="20"/>
      <x:c r="K161" t="str"/>
      <x:c r="L161" s="22" t="str"/>
      <x:c r="M161" t="str">
        <x:v>P0</x:v>
      </x:c>
      <x:c r="N161" s="22" t="str"/>
    </x:row>
    <x:row r="162" ht="34" customHeight="1">
      <x:c r="A162" s="18" t="n">
        <x:v>46380</x:v>
      </x:c>
      <x:c r="B162" t="str">
        <x:v>W11</x:v>
      </x:c>
      <x:c r="C162" t="str">
        <x:v>Thu</x:v>
      </x:c>
      <x:c r="D162" t="str">
        <x:v>Founder / CEO</x:v>
      </x:c>
      <x:c r="E162" t="str">
        <x:v>Engineering</x:v>
      </x:c>
      <x:c r="F162" t="str">
        <x:v>ENG-031</x:v>
      </x:c>
      <x:c r="G162" s="22" t="str">
        <x:v>Observe prompt-to-artifact performance and error rates on consented data.</x:v>
      </x:c>
      <x:c r="H162" s="20" t="n">
        <x:v>2.5</x:v>
      </x:c>
      <x:c r="I162" t="str">
        <x:v>Not started</x:v>
      </x:c>
      <x:c r="J162" s="20"/>
      <x:c r="K162" t="str"/>
      <x:c r="L162" s="22" t="str"/>
      <x:c r="M162" t="str">
        <x:v>P0</x:v>
      </x:c>
      <x:c r="N162" s="22" t="str">
        <x:v>Holiday period — async/buffer only</x:v>
      </x:c>
    </x:row>
    <x:row r="163" ht="34" customHeight="1">
      <x:c r="A163" s="18" t="n">
        <x:v>46380</x:v>
      </x:c>
      <x:c r="B163" t="str">
        <x:v>W11</x:v>
      </x:c>
      <x:c r="C163" t="str">
        <x:v>Thu</x:v>
      </x:c>
      <x:c r="D163" t="str">
        <x:v>Co-founder 1</x:v>
      </x:c>
      <x:c r="E163" t="str">
        <x:v>Operations</x:v>
      </x:c>
      <x:c r="F163" t="str">
        <x:v>OPS-033</x:v>
      </x:c>
      <x:c r="G163" s="22" t="str">
        <x:v>Check incident alerts, access and data retention.</x:v>
      </x:c>
      <x:c r="H163" s="20" t="n">
        <x:v>1.15</x:v>
      </x:c>
      <x:c r="I163" t="str">
        <x:v>Not started</x:v>
      </x:c>
      <x:c r="J163" s="20"/>
      <x:c r="K163" t="str"/>
      <x:c r="L163" s="22" t="str"/>
      <x:c r="M163" t="str">
        <x:v>P1</x:v>
      </x:c>
      <x:c r="N163" s="22" t="str">
        <x:v>Holiday period — async/buffer only</x:v>
      </x:c>
    </x:row>
    <x:row r="164" ht="34" customHeight="1">
      <x:c r="A164" s="18" t="n">
        <x:v>46380</x:v>
      </x:c>
      <x:c r="B164" t="str">
        <x:v>W11</x:v>
      </x:c>
      <x:c r="C164" t="str">
        <x:v>Thu</x:v>
      </x:c>
      <x:c r="D164" t="str">
        <x:v>Co-founder 2</x:v>
      </x:c>
      <x:c r="E164" t="str">
        <x:v>Engineering QA</x:v>
      </x:c>
      <x:c r="F164" t="str">
        <x:v>QA-041</x:v>
      </x:c>
      <x:c r="G164" s="22" t="str">
        <x:v>Reproduce and classify user-reported errors.</x:v>
      </x:c>
      <x:c r="H164" s="20" t="n">
        <x:v>1.05</x:v>
      </x:c>
      <x:c r="I164" t="str">
        <x:v>Not started</x:v>
      </x:c>
      <x:c r="J164" s="20"/>
      <x:c r="K164" t="str"/>
      <x:c r="L164" s="22" t="str"/>
      <x:c r="M164" t="str">
        <x:v>P0</x:v>
      </x:c>
      <x:c r="N164" s="22" t="str">
        <x:v>Holiday period — async/buffer only</x:v>
      </x:c>
    </x:row>
    <x:row r="165" ht="34" customHeight="1">
      <x:c r="A165" s="18" t="n">
        <x:v>46381</x:v>
      </x:c>
      <x:c r="B165" t="str">
        <x:v>W11</x:v>
      </x:c>
      <x:c r="C165" t="str">
        <x:v>Fri</x:v>
      </x:c>
      <x:c r="D165" t="str">
        <x:v>Founder / CEO</x:v>
      </x:c>
      <x:c r="E165" t="str">
        <x:v>Finance</x:v>
      </x:c>
      <x:c r="F165" t="str">
        <x:v>FIN-011</x:v>
      </x:c>
      <x:c r="G165" s="22" t="str">
        <x:v>Log real cost per pilot action and support minutes.</x:v>
      </x:c>
      <x:c r="H165" s="20" t="n">
        <x:v>1.25</x:v>
      </x:c>
      <x:c r="I165" t="str">
        <x:v>Not started</x:v>
      </x:c>
      <x:c r="J165" s="20"/>
      <x:c r="K165" t="str"/>
      <x:c r="L165" s="22" t="str"/>
      <x:c r="M165" t="str">
        <x:v>P1</x:v>
      </x:c>
      <x:c r="N165" s="22" t="str">
        <x:v>Public holiday — optional; move task</x:v>
      </x:c>
    </x:row>
    <x:row r="166" ht="34" customHeight="1">
      <x:c r="A166" s="18" t="n">
        <x:v>46381</x:v>
      </x:c>
      <x:c r="B166" t="str">
        <x:v>W11</x:v>
      </x:c>
      <x:c r="C166" t="str">
        <x:v>Fri</x:v>
      </x:c>
      <x:c r="D166" t="str">
        <x:v>Co-founder 1</x:v>
      </x:c>
      <x:c r="E166" t="str">
        <x:v>Sales</x:v>
      </x:c>
      <x:c r="F166" t="str">
        <x:v>SAL-024</x:v>
      </x:c>
      <x:c r="G166" s="22" t="str">
        <x:v>Arrange pilot A review; avoid commitments on public holidays.</x:v>
      </x:c>
      <x:c r="H166" s="20" t="n">
        <x:v>1</x:v>
      </x:c>
      <x:c r="I166" t="str">
        <x:v>Not started</x:v>
      </x:c>
      <x:c r="J166" s="20"/>
      <x:c r="K166" t="str"/>
      <x:c r="L166" s="22" t="str"/>
      <x:c r="M166" t="str">
        <x:v>P1</x:v>
      </x:c>
      <x:c r="N166" s="22" t="str">
        <x:v>Public holiday — optional; move task</x:v>
      </x:c>
    </x:row>
    <x:row r="167" ht="34" customHeight="1">
      <x:c r="A167" s="18" t="n">
        <x:v>46381</x:v>
      </x:c>
      <x:c r="B167" t="str">
        <x:v>W11</x:v>
      </x:c>
      <x:c r="C167" t="str">
        <x:v>Fri</x:v>
      </x:c>
      <x:c r="D167" t="str">
        <x:v>Co-founder 2</x:v>
      </x:c>
      <x:c r="E167" t="str">
        <x:v>Operations</x:v>
      </x:c>
      <x:c r="F167" t="str">
        <x:v>OPS-034</x:v>
      </x:c>
      <x:c r="G167" s="22" t="str">
        <x:v>Update onboarding guide from observed failures.</x:v>
      </x:c>
      <x:c r="H167" s="20" t="n">
        <x:v>0.9</x:v>
      </x:c>
      <x:c r="I167" t="str">
        <x:v>Not started</x:v>
      </x:c>
      <x:c r="J167" s="20"/>
      <x:c r="K167" t="str"/>
      <x:c r="L167" s="22" t="str"/>
      <x:c r="M167" t="str">
        <x:v>P1</x:v>
      </x:c>
      <x:c r="N167" s="22" t="str">
        <x:v>Public holiday — optional; move task</x:v>
      </x:c>
    </x:row>
    <x:row r="168" ht="34" customHeight="1">
      <x:c r="A168" s="18" t="n">
        <x:v>46384</x:v>
      </x:c>
      <x:c r="B168" t="str">
        <x:v>W11</x:v>
      </x:c>
      <x:c r="C168" t="str">
        <x:v>Mon</x:v>
      </x:c>
      <x:c r="D168" t="str">
        <x:v>Founder / CEO</x:v>
      </x:c>
      <x:c r="E168" t="str">
        <x:v>Sales</x:v>
      </x:c>
      <x:c r="F168" t="str">
        <x:v>SAL-025</x:v>
      </x:c>
      <x:c r="G168" s="22" t="str">
        <x:v>Interview pilot A on usefulness, distrust and missing requirements.</x:v>
      </x:c>
      <x:c r="H168" s="20" t="n">
        <x:v>2</x:v>
      </x:c>
      <x:c r="I168" t="str">
        <x:v>Not started</x:v>
      </x:c>
      <x:c r="J168" s="20"/>
      <x:c r="K168" t="str"/>
      <x:c r="L168" s="22" t="str"/>
      <x:c r="M168" t="str">
        <x:v>P1</x:v>
      </x:c>
      <x:c r="N168" s="22" t="str"/>
    </x:row>
    <x:row r="169" ht="34" customHeight="1">
      <x:c r="A169" s="18" t="n">
        <x:v>46384</x:v>
      </x:c>
      <x:c r="B169" t="str">
        <x:v>W11</x:v>
      </x:c>
      <x:c r="C169" t="str">
        <x:v>Mon</x:v>
      </x:c>
      <x:c r="D169" t="str">
        <x:v>Co-founder 1</x:v>
      </x:c>
      <x:c r="E169" t="str">
        <x:v>Operations</x:v>
      </x:c>
      <x:c r="F169" t="str">
        <x:v>OPS-035</x:v>
      </x:c>
      <x:c r="G169" s="22" t="str">
        <x:v>Update support requests and follow-up log; holiday buffer.</x:v>
      </x:c>
      <x:c r="H169" s="20" t="n">
        <x:v>1.15</x:v>
      </x:c>
      <x:c r="I169" t="str">
        <x:v>Not started</x:v>
      </x:c>
      <x:c r="J169" s="20"/>
      <x:c r="K169" t="str"/>
      <x:c r="L169" s="22" t="str"/>
      <x:c r="M169" t="str">
        <x:v>P1</x:v>
      </x:c>
      <x:c r="N169" s="22" t="str"/>
    </x:row>
    <x:row r="170" ht="34" customHeight="1">
      <x:c r="A170" s="18" t="n">
        <x:v>46384</x:v>
      </x:c>
      <x:c r="B170" t="str">
        <x:v>W11</x:v>
      </x:c>
      <x:c r="C170" t="str">
        <x:v>Mon</x:v>
      </x:c>
      <x:c r="D170" t="str">
        <x:v>Co-founder 2</x:v>
      </x:c>
      <x:c r="E170" t="str">
        <x:v>Engineering QA</x:v>
      </x:c>
      <x:c r="F170" t="str">
        <x:v>QA-042</x:v>
      </x:c>
      <x:c r="G170" s="22" t="str">
        <x:v>Write pilot A quality/evidence report.</x:v>
      </x:c>
      <x:c r="H170" s="20" t="n">
        <x:v>1.05</x:v>
      </x:c>
      <x:c r="I170" t="str">
        <x:v>Not started</x:v>
      </x:c>
      <x:c r="J170" s="20"/>
      <x:c r="K170" t="str"/>
      <x:c r="L170" s="22" t="str"/>
      <x:c r="M170" t="str">
        <x:v>P0</x:v>
      </x:c>
      <x:c r="N170" s="22" t="str"/>
    </x:row>
    <x:row r="171" ht="34" customHeight="1">
      <x:c r="A171" s="18" t="n">
        <x:v>46385</x:v>
      </x:c>
      <x:c r="B171" t="str">
        <x:v>W12</x:v>
      </x:c>
      <x:c r="C171" t="str">
        <x:v>Tue</x:v>
      </x:c>
      <x:c r="D171" t="str">
        <x:v>Founder / CEO</x:v>
      </x:c>
      <x:c r="E171" t="str">
        <x:v>Sales</x:v>
      </x:c>
      <x:c r="F171" t="str">
        <x:v>SAL-026</x:v>
      </x:c>
      <x:c r="G171" s="22" t="str">
        <x:v>Confirm pilot B inputs and prior-process time baseline.</x:v>
      </x:c>
      <x:c r="H171" s="20" t="n">
        <x:v>2</x:v>
      </x:c>
      <x:c r="I171" t="str">
        <x:v>Not started</x:v>
      </x:c>
      <x:c r="J171" s="20"/>
      <x:c r="K171" t="str"/>
      <x:c r="L171" s="22" t="str"/>
      <x:c r="M171" t="str">
        <x:v>P1</x:v>
      </x:c>
      <x:c r="N171" s="22" t="str"/>
    </x:row>
    <x:row r="172" ht="34" customHeight="1">
      <x:c r="A172" s="18" t="n">
        <x:v>46385</x:v>
      </x:c>
      <x:c r="B172" t="str">
        <x:v>W12</x:v>
      </x:c>
      <x:c r="C172" t="str">
        <x:v>Tue</x:v>
      </x:c>
      <x:c r="D172" t="str">
        <x:v>Co-founder 1</x:v>
      </x:c>
      <x:c r="E172" t="str">
        <x:v>Operations</x:v>
      </x:c>
      <x:c r="F172" t="str">
        <x:v>OPS-036</x:v>
      </x:c>
      <x:c r="G172" s="22" t="str">
        <x:v>Configure pilot B permissions and preflight checks.</x:v>
      </x:c>
      <x:c r="H172" s="20" t="n">
        <x:v>1.15</x:v>
      </x:c>
      <x:c r="I172" t="str">
        <x:v>Not started</x:v>
      </x:c>
      <x:c r="J172" s="20"/>
      <x:c r="K172" t="str"/>
      <x:c r="L172" s="22" t="str"/>
      <x:c r="M172" t="str">
        <x:v>P1</x:v>
      </x:c>
      <x:c r="N172" s="22" t="str"/>
    </x:row>
    <x:row r="173" ht="34" customHeight="1">
      <x:c r="A173" s="18" t="n">
        <x:v>46385</x:v>
      </x:c>
      <x:c r="B173" t="str">
        <x:v>W12</x:v>
      </x:c>
      <x:c r="C173" t="str">
        <x:v>Tue</x:v>
      </x:c>
      <x:c r="D173" t="str">
        <x:v>Co-founder 2</x:v>
      </x:c>
      <x:c r="E173" t="str">
        <x:v>Engineering QA</x:v>
      </x:c>
      <x:c r="F173" t="str">
        <x:v>QA-043</x:v>
      </x:c>
      <x:c r="G173" s="22" t="str">
        <x:v>Test pilot B end-to-end with correct tenant scope.</x:v>
      </x:c>
      <x:c r="H173" s="20" t="n">
        <x:v>1.05</x:v>
      </x:c>
      <x:c r="I173" t="str">
        <x:v>Not started</x:v>
      </x:c>
      <x:c r="J173" s="20"/>
      <x:c r="K173" t="str"/>
      <x:c r="L173" s="22" t="str"/>
      <x:c r="M173" t="str">
        <x:v>P0</x:v>
      </x:c>
      <x:c r="N173" s="22" t="str"/>
    </x:row>
    <x:row r="174" ht="34" customHeight="1">
      <x:c r="A174" s="18" t="n">
        <x:v>46386</x:v>
      </x:c>
      <x:c r="B174" t="str">
        <x:v>W12</x:v>
      </x:c>
      <x:c r="C174" t="str">
        <x:v>Wed</x:v>
      </x:c>
      <x:c r="D174" t="str">
        <x:v>Founder / CEO</x:v>
      </x:c>
      <x:c r="E174" t="str">
        <x:v>Engineering</x:v>
      </x:c>
      <x:c r="F174" t="str">
        <x:v>ENG-032</x:v>
      </x:c>
      <x:c r="G174" s="22" t="str">
        <x:v>Support pilot B data import and artifact generation.</x:v>
      </x:c>
      <x:c r="H174" s="20" t="n">
        <x:v>2.5</x:v>
      </x:c>
      <x:c r="I174" t="str">
        <x:v>Not started</x:v>
      </x:c>
      <x:c r="J174" s="20"/>
      <x:c r="K174" t="str"/>
      <x:c r="L174" s="22" t="str"/>
      <x:c r="M174" t="str">
        <x:v>P0</x:v>
      </x:c>
      <x:c r="N174" s="22" t="str">
        <x:v>Public holiday — optional; move task</x:v>
      </x:c>
    </x:row>
    <x:row r="175" ht="34" customHeight="1">
      <x:c r="A175" s="18" t="n">
        <x:v>46386</x:v>
      </x:c>
      <x:c r="B175" t="str">
        <x:v>W12</x:v>
      </x:c>
      <x:c r="C175" t="str">
        <x:v>Wed</x:v>
      </x:c>
      <x:c r="D175" t="str">
        <x:v>Co-founder 1</x:v>
      </x:c>
      <x:c r="E175" t="str">
        <x:v>Marketing</x:v>
      </x:c>
      <x:c r="F175" t="str">
        <x:v>MKT-022</x:v>
      </x:c>
      <x:c r="G175" s="22" t="str">
        <x:v>Summarize proof points and limitations using consented, anonymous results.</x:v>
      </x:c>
      <x:c r="H175" s="20" t="n">
        <x:v>1.25</x:v>
      </x:c>
      <x:c r="I175" t="str">
        <x:v>Not started</x:v>
      </x:c>
      <x:c r="J175" s="20"/>
      <x:c r="K175" t="str"/>
      <x:c r="L175" s="22" t="str"/>
      <x:c r="M175" t="str">
        <x:v>P1</x:v>
      </x:c>
      <x:c r="N175" s="22" t="str">
        <x:v>Public holiday — optional; move task</x:v>
      </x:c>
    </x:row>
    <x:row r="176" ht="34" customHeight="1">
      <x:c r="A176" s="18" t="n">
        <x:v>46386</x:v>
      </x:c>
      <x:c r="B176" t="str">
        <x:v>W12</x:v>
      </x:c>
      <x:c r="C176" t="str">
        <x:v>Wed</x:v>
      </x:c>
      <x:c r="D176" t="str">
        <x:v>Co-founder 2</x:v>
      </x:c>
      <x:c r="E176" t="str">
        <x:v>Engineering QA</x:v>
      </x:c>
      <x:c r="F176" t="str">
        <x:v>QA-044</x:v>
      </x:c>
      <x:c r="G176" s="22" t="str">
        <x:v>Audit failed extractions and corrections by type.</x:v>
      </x:c>
      <x:c r="H176" s="20" t="n">
        <x:v>1.05</x:v>
      </x:c>
      <x:c r="I176" t="str">
        <x:v>Not started</x:v>
      </x:c>
      <x:c r="J176" s="20"/>
      <x:c r="K176" t="str"/>
      <x:c r="L176" s="22" t="str"/>
      <x:c r="M176" t="str">
        <x:v>P0</x:v>
      </x:c>
      <x:c r="N176" s="22" t="str">
        <x:v>Public holiday — optional; move task</x:v>
      </x:c>
    </x:row>
    <x:row r="177" ht="34" customHeight="1">
      <x:c r="A177" s="18" t="n">
        <x:v>46387</x:v>
      </x:c>
      <x:c r="B177" t="str">
        <x:v>W12</x:v>
      </x:c>
      <x:c r="C177" t="str">
        <x:v>Thu</x:v>
      </x:c>
      <x:c r="D177" t="str">
        <x:v>Founder / CEO</x:v>
      </x:c>
      <x:c r="E177" t="str">
        <x:v>Engineering</x:v>
      </x:c>
      <x:c r="F177" t="str">
        <x:v>ENG-033</x:v>
      </x:c>
      <x:c r="G177" s="22" t="str">
        <x:v>Resolve repeated pilot A/B bugs with regression tests.</x:v>
      </x:c>
      <x:c r="H177" s="20" t="n">
        <x:v>2.5</x:v>
      </x:c>
      <x:c r="I177" t="str">
        <x:v>Not started</x:v>
      </x:c>
      <x:c r="J177" s="20"/>
      <x:c r="K177" t="str"/>
      <x:c r="L177" s="22" t="str"/>
      <x:c r="M177" t="str">
        <x:v>P0</x:v>
      </x:c>
      <x:c r="N177" s="22" t="str">
        <x:v>Holiday period — optional; move task</x:v>
      </x:c>
    </x:row>
    <x:row r="178" ht="34" customHeight="1">
      <x:c r="A178" s="18" t="n">
        <x:v>46387</x:v>
      </x:c>
      <x:c r="B178" t="str">
        <x:v>W12</x:v>
      </x:c>
      <x:c r="C178" t="str">
        <x:v>Thu</x:v>
      </x:c>
      <x:c r="D178" t="str">
        <x:v>Co-founder 1</x:v>
      </x:c>
      <x:c r="E178" t="str">
        <x:v>Operations</x:v>
      </x:c>
      <x:c r="F178" t="str">
        <x:v>OPS-037</x:v>
      </x:c>
      <x:c r="G178" s="22" t="str">
        <x:v>Monitor holiday-period jobs and postpone nonessential releases.</x:v>
      </x:c>
      <x:c r="H178" s="20" t="n">
        <x:v>1.15</x:v>
      </x:c>
      <x:c r="I178" t="str">
        <x:v>Not started</x:v>
      </x:c>
      <x:c r="J178" s="20"/>
      <x:c r="K178" t="str"/>
      <x:c r="L178" s="22" t="str"/>
      <x:c r="M178" t="str">
        <x:v>P1</x:v>
      </x:c>
      <x:c r="N178" s="22" t="str">
        <x:v>Holiday period — optional; move task</x:v>
      </x:c>
    </x:row>
    <x:row r="179" ht="34" customHeight="1">
      <x:c r="A179" s="18" t="n">
        <x:v>46387</x:v>
      </x:c>
      <x:c r="B179" t="str">
        <x:v>W12</x:v>
      </x:c>
      <x:c r="C179" t="str">
        <x:v>Thu</x:v>
      </x:c>
      <x:c r="D179" t="str">
        <x:v>Co-founder 2</x:v>
      </x:c>
      <x:c r="E179" t="str">
        <x:v>Engineering QA</x:v>
      </x:c>
      <x:c r="F179" t="str">
        <x:v>QA-045</x:v>
      </x:c>
      <x:c r="G179" s="22" t="str">
        <x:v>Retest fixes that overlap pilots A/B.</x:v>
      </x:c>
      <x:c r="H179" s="20" t="n">
        <x:v>1.05</x:v>
      </x:c>
      <x:c r="I179" t="str">
        <x:v>Not started</x:v>
      </x:c>
      <x:c r="J179" s="20"/>
      <x:c r="K179" t="str"/>
      <x:c r="L179" s="22" t="str"/>
      <x:c r="M179" t="str">
        <x:v>P0</x:v>
      </x:c>
      <x:c r="N179" s="22" t="str">
        <x:v>Holiday period — optional; move task</x:v>
      </x:c>
    </x:row>
    <x:row r="180" ht="34" customHeight="1">
      <x:c r="A180" s="18" t="n">
        <x:v>46388</x:v>
      </x:c>
      <x:c r="B180" t="str">
        <x:v>W12</x:v>
      </x:c>
      <x:c r="C180" t="str">
        <x:v>Fri</x:v>
      </x:c>
      <x:c r="D180" t="str">
        <x:v>Founder / CEO</x:v>
      </x:c>
      <x:c r="E180" t="str">
        <x:v>Finance</x:v>
      </x:c>
      <x:c r="F180" t="str">
        <x:v>FIN-012</x:v>
      </x:c>
      <x:c r="G180" s="22" t="str">
        <x:v>Consolidate actual pilot costs and compare with allowed subscription spend.</x:v>
      </x:c>
      <x:c r="H180" s="20" t="n">
        <x:v>1.25</x:v>
      </x:c>
      <x:c r="I180" t="str">
        <x:v>Not started</x:v>
      </x:c>
      <x:c r="J180" s="20"/>
      <x:c r="K180" t="str"/>
      <x:c r="L180" s="22" t="str"/>
      <x:c r="M180" t="str">
        <x:v>P1</x:v>
      </x:c>
      <x:c r="N180" s="22" t="str">
        <x:v>Public holiday — optional; move task</x:v>
      </x:c>
    </x:row>
    <x:row r="181" ht="34" customHeight="1">
      <x:c r="A181" s="18" t="n">
        <x:v>46388</x:v>
      </x:c>
      <x:c r="B181" t="str">
        <x:v>W12</x:v>
      </x:c>
      <x:c r="C181" t="str">
        <x:v>Fri</x:v>
      </x:c>
      <x:c r="D181" t="str">
        <x:v>Co-founder 1</x:v>
      </x:c>
      <x:c r="E181" t="str">
        <x:v>Sales</x:v>
      </x:c>
      <x:c r="F181" t="str">
        <x:v>SAL-027</x:v>
      </x:c>
      <x:c r="G181" s="22" t="str">
        <x:v>Prepare January customer follow-ups and objection log.</x:v>
      </x:c>
      <x:c r="H181" s="20" t="n">
        <x:v>1</x:v>
      </x:c>
      <x:c r="I181" t="str">
        <x:v>Not started</x:v>
      </x:c>
      <x:c r="J181" s="20"/>
      <x:c r="K181" t="str"/>
      <x:c r="L181" s="22" t="str"/>
      <x:c r="M181" t="str">
        <x:v>P1</x:v>
      </x:c>
      <x:c r="N181" s="22" t="str">
        <x:v>Public holiday — optional; move task</x:v>
      </x:c>
    </x:row>
    <x:row r="182" ht="34" customHeight="1">
      <x:c r="A182" s="18" t="n">
        <x:v>46388</x:v>
      </x:c>
      <x:c r="B182" t="str">
        <x:v>W12</x:v>
      </x:c>
      <x:c r="C182" t="str">
        <x:v>Fri</x:v>
      </x:c>
      <x:c r="D182" t="str">
        <x:v>Co-founder 2</x:v>
      </x:c>
      <x:c r="E182" t="str">
        <x:v>Operations</x:v>
      </x:c>
      <x:c r="F182" t="str">
        <x:v>OPS-038</x:v>
      </x:c>
      <x:c r="G182" s="22" t="str">
        <x:v>Refresh help center content from actual questions.</x:v>
      </x:c>
      <x:c r="H182" s="20" t="n">
        <x:v>0.9</x:v>
      </x:c>
      <x:c r="I182" t="str">
        <x:v>Not started</x:v>
      </x:c>
      <x:c r="J182" s="20"/>
      <x:c r="K182" t="str"/>
      <x:c r="L182" s="22" t="str"/>
      <x:c r="M182" t="str">
        <x:v>P1</x:v>
      </x:c>
      <x:c r="N182" s="22" t="str">
        <x:v>Public holiday — optional; move task</x:v>
      </x:c>
    </x:row>
    <x:row r="183" ht="34" customHeight="1">
      <x:c r="A183" s="18" t="n">
        <x:v>46391</x:v>
      </x:c>
      <x:c r="B183" t="str">
        <x:v>W12</x:v>
      </x:c>
      <x:c r="C183" t="str">
        <x:v>Mon</x:v>
      </x:c>
      <x:c r="D183" t="str">
        <x:v>Founder / CEO</x:v>
      </x:c>
      <x:c r="E183" t="str">
        <x:v>Sales</x:v>
      </x:c>
      <x:c r="F183" t="str">
        <x:v>SAL-028</x:v>
      </x:c>
      <x:c r="G183" s="22" t="str">
        <x:v>Record pilot B willingness to pay and repeat-use commitment.</x:v>
      </x:c>
      <x:c r="H183" s="20" t="n">
        <x:v>2</x:v>
      </x:c>
      <x:c r="I183" t="str">
        <x:v>Not started</x:v>
      </x:c>
      <x:c r="J183" s="20"/>
      <x:c r="K183" t="str"/>
      <x:c r="L183" s="22" t="str"/>
      <x:c r="M183" t="str">
        <x:v>P1</x:v>
      </x:c>
      <x:c r="N183" s="22" t="str"/>
    </x:row>
    <x:row r="184" ht="34" customHeight="1">
      <x:c r="A184" s="18" t="n">
        <x:v>46391</x:v>
      </x:c>
      <x:c r="B184" t="str">
        <x:v>W12</x:v>
      </x:c>
      <x:c r="C184" t="str">
        <x:v>Mon</x:v>
      </x:c>
      <x:c r="D184" t="str">
        <x:v>Co-founder 1</x:v>
      </x:c>
      <x:c r="E184" t="str">
        <x:v>Operations</x:v>
      </x:c>
      <x:c r="F184" t="str">
        <x:v>OPS-039</x:v>
      </x:c>
      <x:c r="G184" s="22" t="str">
        <x:v>Review incident/defect queue and capacity for January releases.</x:v>
      </x:c>
      <x:c r="H184" s="20" t="n">
        <x:v>1.15</x:v>
      </x:c>
      <x:c r="I184" t="str">
        <x:v>Not started</x:v>
      </x:c>
      <x:c r="J184" s="20"/>
      <x:c r="K184" t="str"/>
      <x:c r="L184" s="22" t="str"/>
      <x:c r="M184" t="str">
        <x:v>P1</x:v>
      </x:c>
      <x:c r="N184" s="22" t="str"/>
    </x:row>
    <x:row r="185" ht="34" customHeight="1">
      <x:c r="A185" s="18" t="n">
        <x:v>46391</x:v>
      </x:c>
      <x:c r="B185" t="str">
        <x:v>W12</x:v>
      </x:c>
      <x:c r="C185" t="str">
        <x:v>Mon</x:v>
      </x:c>
      <x:c r="D185" t="str">
        <x:v>Co-founder 2</x:v>
      </x:c>
      <x:c r="E185" t="str">
        <x:v>Engineering QA</x:v>
      </x:c>
      <x:c r="F185" t="str">
        <x:v>QA-046</x:v>
      </x:c>
      <x:c r="G185" s="22" t="str">
        <x:v>Write side-by-side pilot outcomes and unresolved issue list.</x:v>
      </x:c>
      <x:c r="H185" s="20" t="n">
        <x:v>1.05</x:v>
      </x:c>
      <x:c r="I185" t="str">
        <x:v>Not started</x:v>
      </x:c>
      <x:c r="J185" s="20"/>
      <x:c r="K185" t="str"/>
      <x:c r="L185" s="22" t="str"/>
      <x:c r="M185" t="str">
        <x:v>P0</x:v>
      </x:c>
      <x:c r="N185" s="22" t="str"/>
    </x:row>
    <x:row r="186" ht="34" customHeight="1">
      <x:c r="A186" s="18" t="n">
        <x:v>46392</x:v>
      </x:c>
      <x:c r="B186" t="str">
        <x:v>W13</x:v>
      </x:c>
      <x:c r="C186" t="str">
        <x:v>Tue</x:v>
      </x:c>
      <x:c r="D186" t="str">
        <x:v>Founder / CEO</x:v>
      </x:c>
      <x:c r="E186" t="str">
        <x:v>Engineering</x:v>
      </x:c>
      <x:c r="F186" t="str">
        <x:v>ENG-034</x:v>
      </x:c>
      <x:c r="G186" s="22" t="str">
        <x:v>Prioritize defect fixes: security, data integrity, workflows, then UX.</x:v>
      </x:c>
      <x:c r="H186" s="20" t="n">
        <x:v>2.5</x:v>
      </x:c>
      <x:c r="I186" t="str">
        <x:v>Not started</x:v>
      </x:c>
      <x:c r="J186" s="20"/>
      <x:c r="K186" t="str"/>
      <x:c r="L186" s="22" t="str"/>
      <x:c r="M186" t="str">
        <x:v>P0</x:v>
      </x:c>
      <x:c r="N186" s="22" t="str"/>
    </x:row>
    <x:row r="187" ht="34" customHeight="1">
      <x:c r="A187" s="18" t="n">
        <x:v>46392</x:v>
      </x:c>
      <x:c r="B187" t="str">
        <x:v>W13</x:v>
      </x:c>
      <x:c r="C187" t="str">
        <x:v>Tue</x:v>
      </x:c>
      <x:c r="D187" t="str">
        <x:v>Co-founder 1</x:v>
      </x:c>
      <x:c r="E187" t="str">
        <x:v>Marketing</x:v>
      </x:c>
      <x:c r="F187" t="str">
        <x:v>MKT-023</x:v>
      </x:c>
      <x:c r="G187" s="22" t="str">
        <x:v>Revise positioning from demonstrated benefits and documented limitations.</x:v>
      </x:c>
      <x:c r="H187" s="20" t="n">
        <x:v>1.25</x:v>
      </x:c>
      <x:c r="I187" t="str">
        <x:v>Not started</x:v>
      </x:c>
      <x:c r="J187" s="20"/>
      <x:c r="K187" t="str"/>
      <x:c r="L187" s="22" t="str"/>
      <x:c r="M187" t="str">
        <x:v>P1</x:v>
      </x:c>
      <x:c r="N187" s="22" t="str"/>
    </x:row>
    <x:row r="188" ht="34" customHeight="1">
      <x:c r="A188" s="18" t="n">
        <x:v>46392</x:v>
      </x:c>
      <x:c r="B188" t="str">
        <x:v>W13</x:v>
      </x:c>
      <x:c r="C188" t="str">
        <x:v>Tue</x:v>
      </x:c>
      <x:c r="D188" t="str">
        <x:v>Co-founder 2</x:v>
      </x:c>
      <x:c r="E188" t="str">
        <x:v>Engineering QA</x:v>
      </x:c>
      <x:c r="F188" t="str">
        <x:v>QA-047</x:v>
      </x:c>
      <x:c r="G188" s="22" t="str">
        <x:v>Run regression suite on fixes and adversarial security checks.</x:v>
      </x:c>
      <x:c r="H188" s="20" t="n">
        <x:v>1.05</x:v>
      </x:c>
      <x:c r="I188" t="str">
        <x:v>Not started</x:v>
      </x:c>
      <x:c r="J188" s="20"/>
      <x:c r="K188" t="str"/>
      <x:c r="L188" s="22" t="str"/>
      <x:c r="M188" t="str">
        <x:v>P0</x:v>
      </x:c>
      <x:c r="N188" s="22" t="str"/>
    </x:row>
    <x:row r="189" ht="34" customHeight="1">
      <x:c r="A189" s="18" t="n">
        <x:v>46393</x:v>
      </x:c>
      <x:c r="B189" t="str">
        <x:v>W13</x:v>
      </x:c>
      <x:c r="C189" t="str">
        <x:v>Wed</x:v>
      </x:c>
      <x:c r="D189" t="str">
        <x:v>Founder / CEO</x:v>
      </x:c>
      <x:c r="E189" t="str">
        <x:v>Engineering</x:v>
      </x:c>
      <x:c r="F189" t="str">
        <x:v>ENG-035</x:v>
      </x:c>
      <x:c r="G189" s="22" t="str">
        <x:v>Implement top two repeatedly requested low-risk improvements.</x:v>
      </x:c>
      <x:c r="H189" s="20" t="n">
        <x:v>2.5</x:v>
      </x:c>
      <x:c r="I189" t="str">
        <x:v>Not started</x:v>
      </x:c>
      <x:c r="J189" s="20"/>
      <x:c r="K189" t="str"/>
      <x:c r="L189" s="22" t="str"/>
      <x:c r="M189" t="str">
        <x:v>P0</x:v>
      </x:c>
      <x:c r="N189" s="22" t="str"/>
    </x:row>
    <x:row r="190" ht="34" customHeight="1">
      <x:c r="A190" s="18" t="n">
        <x:v>46393</x:v>
      </x:c>
      <x:c r="B190" t="str">
        <x:v>W13</x:v>
      </x:c>
      <x:c r="C190" t="str">
        <x:v>Wed</x:v>
      </x:c>
      <x:c r="D190" t="str">
        <x:v>Co-founder 1</x:v>
      </x:c>
      <x:c r="E190" t="str">
        <x:v>Operations</x:v>
      </x:c>
      <x:c r="F190" t="str">
        <x:v>OPS-040</x:v>
      </x:c>
      <x:c r="G190" s="22" t="str">
        <x:v>Review backup restore evidence, monitoring and response ownership.</x:v>
      </x:c>
      <x:c r="H190" s="20" t="n">
        <x:v>1.15</x:v>
      </x:c>
      <x:c r="I190" t="str">
        <x:v>Not started</x:v>
      </x:c>
      <x:c r="J190" s="20"/>
      <x:c r="K190" t="str"/>
      <x:c r="L190" s="22" t="str"/>
      <x:c r="M190" t="str">
        <x:v>P1</x:v>
      </x:c>
      <x:c r="N190" s="22" t="str"/>
    </x:row>
    <x:row r="191" ht="34" customHeight="1">
      <x:c r="A191" s="18" t="n">
        <x:v>46393</x:v>
      </x:c>
      <x:c r="B191" t="str">
        <x:v>W13</x:v>
      </x:c>
      <x:c r="C191" t="str">
        <x:v>Wed</x:v>
      </x:c>
      <x:c r="D191" t="str">
        <x:v>Co-founder 2</x:v>
      </x:c>
      <x:c r="E191" t="str">
        <x:v>Engineering QA</x:v>
      </x:c>
      <x:c r="F191" t="str">
        <x:v>QA-048</x:v>
      </x:c>
      <x:c r="G191" s="22" t="str">
        <x:v>Complete data accuracy and artifact persistence acceptance report.</x:v>
      </x:c>
      <x:c r="H191" s="20" t="n">
        <x:v>1.05</x:v>
      </x:c>
      <x:c r="I191" t="str">
        <x:v>Not started</x:v>
      </x:c>
      <x:c r="J191" s="20"/>
      <x:c r="K191" t="str"/>
      <x:c r="L191" s="22" t="str"/>
      <x:c r="M191" t="str">
        <x:v>P0</x:v>
      </x:c>
      <x:c r="N191" s="22" t="str"/>
    </x:row>
    <x:row r="192" ht="34" customHeight="1">
      <x:c r="A192" s="18" t="n">
        <x:v>46394</x:v>
      </x:c>
      <x:c r="B192" t="str">
        <x:v>W13</x:v>
      </x:c>
      <x:c r="C192" t="str">
        <x:v>Thu</x:v>
      </x:c>
      <x:c r="D192" t="str">
        <x:v>Founder / CEO</x:v>
      </x:c>
      <x:c r="E192" t="str">
        <x:v>Sales</x:v>
      </x:c>
      <x:c r="F192" t="str">
        <x:v>SAL-029</x:v>
      </x:c>
      <x:c r="G192" s="22" t="str">
        <x:v>Discuss renewal/paid conversion with both partners without premature lock-in.</x:v>
      </x:c>
      <x:c r="H192" s="20" t="n">
        <x:v>2</x:v>
      </x:c>
      <x:c r="I192" t="str">
        <x:v>Not started</x:v>
      </x:c>
      <x:c r="J192" s="20"/>
      <x:c r="K192" t="str"/>
      <x:c r="L192" s="22" t="str"/>
      <x:c r="M192" t="str">
        <x:v>P1</x:v>
      </x:c>
      <x:c r="N192" s="22" t="str"/>
    </x:row>
    <x:row r="193" ht="34" customHeight="1">
      <x:c r="A193" s="18" t="n">
        <x:v>46394</x:v>
      </x:c>
      <x:c r="B193" t="str">
        <x:v>W13</x:v>
      </x:c>
      <x:c r="C193" t="str">
        <x:v>Thu</x:v>
      </x:c>
      <x:c r="D193" t="str">
        <x:v>Co-founder 1</x:v>
      </x:c>
      <x:c r="E193" t="str">
        <x:v>Sales</x:v>
      </x:c>
      <x:c r="F193" t="str">
        <x:v>SAL-030</x:v>
      </x:c>
      <x:c r="G193" s="22" t="str">
        <x:v>Build qualified prospect pipeline for next 30 days from discovery learnings.</x:v>
      </x:c>
      <x:c r="H193" s="20" t="n">
        <x:v>1</x:v>
      </x:c>
      <x:c r="I193" t="str">
        <x:v>Not started</x:v>
      </x:c>
      <x:c r="J193" s="20"/>
      <x:c r="K193" t="str"/>
      <x:c r="L193" s="22" t="str"/>
      <x:c r="M193" t="str">
        <x:v>P1</x:v>
      </x:c>
      <x:c r="N193" s="22" t="str"/>
    </x:row>
    <x:row r="194" ht="34" customHeight="1">
      <x:c r="A194" s="18" t="n">
        <x:v>46394</x:v>
      </x:c>
      <x:c r="B194" t="str">
        <x:v>W13</x:v>
      </x:c>
      <x:c r="C194" t="str">
        <x:v>Thu</x:v>
      </x:c>
      <x:c r="D194" t="str">
        <x:v>Co-founder 2</x:v>
      </x:c>
      <x:c r="E194" t="str">
        <x:v>Engineering QA</x:v>
      </x:c>
      <x:c r="F194" t="str">
        <x:v>QA-049</x:v>
      </x:c>
      <x:c r="G194" s="22" t="str">
        <x:v>Perform release rehearsal and rollback smoke test.</x:v>
      </x:c>
      <x:c r="H194" s="20" t="n">
        <x:v>1.05</x:v>
      </x:c>
      <x:c r="I194" t="str">
        <x:v>Not started</x:v>
      </x:c>
      <x:c r="J194" s="20"/>
      <x:c r="K194" t="str"/>
      <x:c r="L194" s="22" t="str"/>
      <x:c r="M194" t="str">
        <x:v>P0</x:v>
      </x:c>
      <x:c r="N194" s="22" t="str"/>
    </x:row>
    <x:row r="195" ht="34" customHeight="1">
      <x:c r="A195" s="18" t="n">
        <x:v>46395</x:v>
      </x:c>
      <x:c r="B195" t="str">
        <x:v>W13</x:v>
      </x:c>
      <x:c r="C195" t="str">
        <x:v>Fri</x:v>
      </x:c>
      <x:c r="D195" t="str">
        <x:v>Founder / CEO</x:v>
      </x:c>
      <x:c r="E195" t="str">
        <x:v>Finance</x:v>
      </x:c>
      <x:c r="F195" t="str">
        <x:v>FIN-013</x:v>
      </x:c>
      <x:c r="G195" s="22" t="str">
        <x:v>Finalize measured cost-per-tenant, fair-use units and 3-year contract review.</x:v>
      </x:c>
      <x:c r="H195" s="20" t="n">
        <x:v>1.25</x:v>
      </x:c>
      <x:c r="I195" t="str">
        <x:v>Not started</x:v>
      </x:c>
      <x:c r="J195" s="20"/>
      <x:c r="K195" t="str"/>
      <x:c r="L195" s="22" t="str"/>
      <x:c r="M195" t="str">
        <x:v>P0</x:v>
      </x:c>
      <x:c r="N195" s="22" t="str"/>
    </x:row>
    <x:row r="196" ht="34" customHeight="1">
      <x:c r="A196" s="18" t="n">
        <x:v>46395</x:v>
      </x:c>
      <x:c r="B196" t="str">
        <x:v>W13</x:v>
      </x:c>
      <x:c r="C196" t="str">
        <x:v>Fri</x:v>
      </x:c>
      <x:c r="D196" t="str">
        <x:v>Co-founder 1</x:v>
      </x:c>
      <x:c r="E196" t="str">
        <x:v>Marketing</x:v>
      </x:c>
      <x:c r="F196" t="str">
        <x:v>MKT-024</x:v>
      </x:c>
      <x:c r="G196" s="22" t="str">
        <x:v>Prepare launch materials conditionally; mark preview if not released.</x:v>
      </x:c>
      <x:c r="H196" s="20" t="n">
        <x:v>1.25</x:v>
      </x:c>
      <x:c r="I196" t="str">
        <x:v>Not started</x:v>
      </x:c>
      <x:c r="J196" s="20"/>
      <x:c r="K196" t="str"/>
      <x:c r="L196" s="22" t="str"/>
      <x:c r="M196" t="str">
        <x:v>P1</x:v>
      </x:c>
      <x:c r="N196" s="22" t="str"/>
    </x:row>
    <x:row r="197" ht="34" customHeight="1">
      <x:c r="A197" s="18" t="n">
        <x:v>46395</x:v>
      </x:c>
      <x:c r="B197" t="str">
        <x:v>W13</x:v>
      </x:c>
      <x:c r="C197" t="str">
        <x:v>Fri</x:v>
      </x:c>
      <x:c r="D197" t="str">
        <x:v>Co-founder 2</x:v>
      </x:c>
      <x:c r="E197" t="str">
        <x:v>Operations</x:v>
      </x:c>
      <x:c r="F197" t="str">
        <x:v>OPS-041</x:v>
      </x:c>
      <x:c r="G197" s="22" t="str">
        <x:v>Package onboarding, incidents, retention and support documentation.</x:v>
      </x:c>
      <x:c r="H197" s="20" t="n">
        <x:v>0.9</x:v>
      </x:c>
      <x:c r="I197" t="str">
        <x:v>Not started</x:v>
      </x:c>
      <x:c r="J197" s="20"/>
      <x:c r="K197" t="str"/>
      <x:c r="L197" s="22" t="str"/>
      <x:c r="M197" t="str">
        <x:v>P1</x:v>
      </x:c>
      <x:c r="N197" s="22" t="str"/>
    </x:row>
    <x:row r="198" ht="34" customHeight="1">
      <x:c r="A198" s="18" t="n">
        <x:v>46398</x:v>
      </x:c>
      <x:c r="B198" t="str">
        <x:v>W13</x:v>
      </x:c>
      <x:c r="C198" t="str">
        <x:v>Mon</x:v>
      </x:c>
      <x:c r="D198" t="str">
        <x:v>Founder / CEO</x:v>
      </x:c>
      <x:c r="E198" t="str">
        <x:v>Engineering</x:v>
      </x:c>
      <x:c r="F198" t="str">
        <x:v>ENG-036</x:v>
      </x:c>
      <x:c r="G198" s="22" t="str">
        <x:v>Freeze release candidate and prepare January 12 go/no-go evidence.</x:v>
      </x:c>
      <x:c r="H198" s="20" t="n">
        <x:v>2.5</x:v>
      </x:c>
      <x:c r="I198" t="str">
        <x:v>Not started</x:v>
      </x:c>
      <x:c r="J198" s="20"/>
      <x:c r="K198" t="str"/>
      <x:c r="L198" s="22" t="str"/>
      <x:c r="M198" t="str">
        <x:v>P0</x:v>
      </x:c>
      <x:c r="N198" s="22" t="str"/>
    </x:row>
    <x:row r="199" ht="34" customHeight="1">
      <x:c r="A199" s="18" t="n">
        <x:v>46398</x:v>
      </x:c>
      <x:c r="B199" t="str">
        <x:v>W13</x:v>
      </x:c>
      <x:c r="C199" t="str">
        <x:v>Mon</x:v>
      </x:c>
      <x:c r="D199" t="str">
        <x:v>Co-founder 1</x:v>
      </x:c>
      <x:c r="E199" t="str">
        <x:v>Operations</x:v>
      </x:c>
      <x:c r="F199" t="str">
        <x:v>OPS-042</x:v>
      </x:c>
      <x:c r="G199" s="22" t="str">
        <x:v>Hold retrospective; propose first post-runway maintenance schedule.</x:v>
      </x:c>
      <x:c r="H199" s="20" t="n">
        <x:v>1.15</x:v>
      </x:c>
      <x:c r="I199" t="str">
        <x:v>Not started</x:v>
      </x:c>
      <x:c r="J199" s="20"/>
      <x:c r="K199" t="str"/>
      <x:c r="L199" s="22" t="str"/>
      <x:c r="M199" t="str">
        <x:v>P1</x:v>
      </x:c>
      <x:c r="N199" s="22" t="str"/>
    </x:row>
    <x:row r="200" ht="34" customHeight="1">
      <x:c r="A200" s="18" t="n">
        <x:v>46398</x:v>
      </x:c>
      <x:c r="B200" t="str">
        <x:v>W13</x:v>
      </x:c>
      <x:c r="C200" t="str">
        <x:v>Mon</x:v>
      </x:c>
      <x:c r="D200" t="str">
        <x:v>Co-founder 2</x:v>
      </x:c>
      <x:c r="E200" t="str">
        <x:v>Engineering QA</x:v>
      </x:c>
      <x:c r="F200" t="str">
        <x:v>QA-050</x:v>
      </x:c>
      <x:c r="G200" s="22" t="str">
        <x:v>Submit signed release readiness report and known limitations.</x:v>
      </x:c>
      <x:c r="H200" s="20" t="n">
        <x:v>1.05</x:v>
      </x:c>
      <x:c r="I200" t="str">
        <x:v>Not started</x:v>
      </x:c>
      <x:c r="J200" s="20"/>
      <x:c r="K200" t="str"/>
      <x:c r="L200" s="22" t="str"/>
      <x:c r="M200" t="str">
        <x:v>P0</x:v>
      </x:c>
      <x:c r="N200" s="22" t="str"/>
    </x:row>
    <x:row r="201" ht="34" customHeight="1">
      <x:c r="A201" s="18" t="n">
        <x:v>46399</x:v>
      </x:c>
      <x:c r="B201" t="str">
        <x:v>CLOSE</x:v>
      </x:c>
      <x:c r="C201" t="str">
        <x:v>Tue</x:v>
      </x:c>
      <x:c r="D201" t="str">
        <x:v>Founder / CEO</x:v>
      </x:c>
      <x:c r="E201" t="str">
        <x:v>Finance</x:v>
      </x:c>
      <x:c r="F201" t="str">
        <x:v>FIN-FINAL</x:v>
      </x:c>
      <x:c r="G201" s="22" t="str">
        <x:v>Chair executive go/no-go: approve launch, limited beta, or additional engineering; sign next-quarter budget.</x:v>
      </x:c>
      <x:c r="H201" s="20" t="n">
        <x:v>2</x:v>
      </x:c>
      <x:c r="I201" t="str">
        <x:v>Not started</x:v>
      </x:c>
      <x:c r="J201" s="20"/>
      <x:c r="K201" t="str"/>
      <x:c r="L201" s="22" t="str"/>
      <x:c r="M201" t="str">
        <x:v>P0</x:v>
      </x:c>
      <x:c r="N201" s="22" t="str">
        <x:v>Do not declare commercial launch unless gates passed.</x:v>
      </x:c>
    </x:row>
    <x:row r="202" ht="34" customHeight="1">
      <x:c r="A202" s="18" t="n">
        <x:v>46399</x:v>
      </x:c>
      <x:c r="B202" t="str">
        <x:v>CLOSE</x:v>
      </x:c>
      <x:c r="C202" t="str">
        <x:v>Tue</x:v>
      </x:c>
      <x:c r="D202" t="str">
        <x:v>Co-founder 1</x:v>
      </x:c>
      <x:c r="E202" t="str">
        <x:v>Operations</x:v>
      </x:c>
      <x:c r="F202" t="str">
        <x:v>OPS-FINAL</x:v>
      </x:c>
      <x:c r="G202" s="22" t="str">
        <x:v>Publish approved owner/action register and the next 30-day operating calendar.</x:v>
      </x:c>
      <x:c r="H202" s="20" t="n">
        <x:v>1.25</x:v>
      </x:c>
      <x:c r="I202" t="str">
        <x:v>Not started</x:v>
      </x:c>
      <x:c r="J202" s="20"/>
      <x:c r="K202" t="str"/>
      <x:c r="L202" s="22" t="str"/>
      <x:c r="M202" t="str">
        <x:v>P0</x:v>
      </x:c>
      <x:c r="N202" s="22" t="str"/>
    </x:row>
    <x:row r="203" ht="34" customHeight="1">
      <x:c r="A203" s="18" t="n">
        <x:v>46399</x:v>
      </x:c>
      <x:c r="B203" t="str">
        <x:v>CLOSE</x:v>
      </x:c>
      <x:c r="C203" t="str">
        <x:v>Tue</x:v>
      </x:c>
      <x:c r="D203" t="str">
        <x:v>Co-founder 2</x:v>
      </x:c>
      <x:c r="E203" t="str">
        <x:v>Engineering QA</x:v>
      </x:c>
      <x:c r="F203" t="str">
        <x:v>QA-FINAL</x:v>
      </x:c>
      <x:c r="G203" s="22" t="str">
        <x:v>Archive tested release evidence, known issues and user-guide version.</x:v>
      </x:c>
      <x:c r="H203" s="20" t="n">
        <x:v>1</x:v>
      </x:c>
      <x:c r="I203" t="str">
        <x:v>Not started</x:v>
      </x:c>
      <x:c r="J203" s="20"/>
      <x:c r="K203" t="str"/>
      <x:c r="L203" s="22" t="str"/>
      <x:c r="M203" t="str">
        <x:v>P0</x:v>
      </x:c>
      <x:c r="N203" s="22" t="str"/>
    </x:row>
  </x:sheetData>
  <x:mergeCells>
    <x:mergeCell ref="A1:N2"/>
  </x:mergeCells>
  <x:conditionalFormatting sqref="I6:I203">
    <x:cfRule type="expression" dxfId="0" priority="1">
      <x:formula>I6="Done"</x:formula>
    </x:cfRule>
    <x:cfRule type="expression" dxfId="1" priority="2">
      <x:formula>I6="Blocked"</x:formula>
    </x:cfRule>
    <x:cfRule type="expression" dxfId="2" priority="3">
      <x:formula>I6="In progress"</x:formula>
    </x:cfRule>
  </x:conditionalFormatting>
  <x:dataValidations count="2">
    <x:dataValidation type="list" sqref="I6:I203">
      <x:formula1>"Not started,In progress,Blocked,In review,Done,Deferred"</x:formula1>
    </x:dataValidation>
    <x:dataValidation type="list" sqref="M6:M20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557e1202c14cf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6" hidden="0" customWidth="1"/>
    <x:col min="4" max="4" width="39" hidden="0" customWidth="1"/>
    <x:col min="5" max="5" width="33" hidden="0" customWidth="1"/>
    <x:col min="6" max="6" width="33" hidden="0" customWidth="1"/>
    <x:col min="7" max="7" width="30" hidden="0" customWidth="1"/>
    <x:col min="8" max="8" width="38" hidden="0" customWidth="1"/>
    <x:col min="9" max="9" width="39" hidden="0" customWidth="1"/>
    <x:col min="10" max="10" width="10" hidden="0" customWidth="1"/>
    <x:col min="11" max="11" width="9" hidden="0" customWidth="1"/>
    <x:col min="12" max="12" width="14" hidden="0" customWidth="1"/>
    <x:col min="13" max="13" width="17" hidden="0" customWidth="1"/>
    <x:col min="14" max="14" width="57" hidden="0" customWidth="1"/>
  </x:cols>
  <x:sheetData>
    <x:row r="1" ht="36" customHeight="1">
      <x:c r="A1" s="4" t="str">
        <x:v>OPERO  |  WEEKLY DELIVERABLES &amp; STAGE GATES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Week boundaries are Tuesday–Monday; the Jan 12 decision day is listed separately in Daily Tasks.</x:v>
      </x:c>
    </x:row>
    <x:row r="5" ht="26" customHeight="1">
      <x:c r="A5" s="13" t="str">
        <x:v>Sprint</x:v>
      </x:c>
      <x:c r="B5" s="13" t="str">
        <x:v>Date window</x:v>
      </x:c>
      <x:c r="C5" s="13" t="str">
        <x:v>Milestone</x:v>
      </x:c>
      <x:c r="D5" s="13" t="str">
        <x:v>Engineering output</x:v>
      </x:c>
      <x:c r="E5" s="13" t="str">
        <x:v>Sales output</x:v>
      </x:c>
      <x:c r="F5" s="13" t="str">
        <x:v>Marketing output</x:v>
      </x:c>
      <x:c r="G5" s="13" t="str">
        <x:v>Finance output</x:v>
      </x:c>
      <x:c r="H5" s="13" t="str">
        <x:v>Operations / QA output</x:v>
      </x:c>
      <x:c r="I5" s="13" t="str">
        <x:v>Required evidence</x:v>
      </x:c>
      <x:c r="J5" s="13" t="str">
        <x:v>Tasks</x:v>
      </x:c>
      <x:c r="K5" s="13" t="str">
        <x:v>Done</x:v>
      </x:c>
      <x:c r="L5" s="13" t="str">
        <x:v>Completion</x:v>
      </x:c>
      <x:c r="M5" s="13" t="str">
        <x:v>Gate</x:v>
      </x:c>
      <x:c r="N5" s="13" t="str">
        <x:v>Notes / decision</x:v>
      </x:c>
    </x:row>
    <x:row r="6" ht="74" customHeight="1">
      <x:c r="A6" t="str">
        <x:v>W01</x:v>
      </x:c>
      <x:c r="B6" t="str">
        <x:v>Oct 13 – Oct 19</x:v>
      </x:c>
      <x:c r="C6" s="22" t="str">
        <x:v>ICP + security plan</x:v>
      </x:c>
      <x:c r="D6" s="22" t="str">
        <x:v>Tenant model + initial FastAPI design</x:v>
      </x:c>
      <x:c r="E6" s="22" t="str">
        <x:v>5 interviews booked; 2 completed</x:v>
      </x:c>
      <x:c r="F6" s="22" t="str">
        <x:v>20 prospects + competitor matrix</x:v>
      </x:c>
      <x:c r="G6" s="22" t="str">
        <x:v>Tool ledger + spending ceiling</x:v>
      </x:c>
      <x:c r="H6" s="22" t="str">
        <x:v>QA fixtures + staging/runbook skeleton</x:v>
      </x:c>
      <x:c r="I6" s="22" t="str">
        <x:v>Interview notes, ADRs, repo checklist</x:v>
      </x:c>
      <x:c r="J6" t="n">
        <x:f>COUNTIF('Daily Tasks'!$B$6:$B$203,A6)</x:f>
        <x:v>15</x:v>
      </x:c>
      <x:c r="K6" t="n">
        <x:f>COUNTIFS('Daily Tasks'!$B$6:$B$203,A6,'Daily Tasks'!$I$6:$I$203,"Done")</x:f>
        <x:v>0</x:v>
      </x:c>
      <x:c r="L6" s="24" t="n">
        <x:f>IFERROR(K6/J6,0)</x:f>
        <x:v>0</x:v>
      </x:c>
      <x:c r="M6" t="str">
        <x:v>Not reviewed</x:v>
      </x:c>
      <x:c r="N6" s="22" t="str">
        <x:v>Gate: Interview evidence started; threat model and tenant contract reviewed.</x:v>
      </x:c>
    </x:row>
    <x:row r="7" ht="74" customHeight="1">
      <x:c r="A7" t="str">
        <x:v>W02</x:v>
      </x:c>
      <x:c r="B7" t="str">
        <x:v>Oct 20 – Oct 26</x:v>
      </x:c>
      <x:c r="C7" s="22" t="str">
        <x:v>Problem validation gate</x:v>
      </x:c>
      <x:c r="D7" s="22" t="str">
        <x:v>Signed-off ingestion spec + file limits</x:v>
      </x:c>
      <x:c r="E7" s="22" t="str">
        <x:v>10–15 interviews targeted; select repeatable workflow</x:v>
      </x:c>
      <x:c r="F7" s="22" t="str">
        <x:v>Positioning statement + competitor gaps</x:v>
      </x:c>
      <x:c r="G7" s="22" t="str">
        <x:v>AI test budget + pricing questions</x:v>
      </x:c>
      <x:c r="H7" s="22" t="str">
        <x:v>Sample fixture &amp; privacy consent workflow</x:v>
      </x:c>
      <x:c r="I7" s="22" t="str">
        <x:v>Validated pain evidence + P0 backlog</x:v>
      </x:c>
      <x:c r="J7" t="n">
        <x:f>COUNTIF('Daily Tasks'!$B$6:$B$203,A7)</x:f>
        <x:v>15</x:v>
      </x:c>
      <x:c r="K7" t="n">
        <x:f>COUNTIFS('Daily Tasks'!$B$6:$B$203,A7,'Daily Tasks'!$I$6:$I$203,"Done")</x:f>
        <x:v>0</x:v>
      </x:c>
      <x:c r="L7" s="24" t="n">
        <x:f>IFERROR(K7/J7,0)</x:f>
        <x:v>0</x:v>
      </x:c>
      <x:c r="M7" t="str">
        <x:v>Not reviewed</x:v>
      </x:c>
      <x:c r="N7" s="22" t="str">
        <x:v>Gate: 10–15 cumulative interviews targeted; narrow one workflow; approve technical ingestion spec.</x:v>
      </x:c>
    </x:row>
    <x:row r="8" ht="74" customHeight="1">
      <x:c r="A8" t="str">
        <x:v>W03</x:v>
      </x:c>
      <x:c r="B8" t="str">
        <x:v>Oct 27 – Nov 02</x:v>
      </x:c>
      <x:c r="C8" s="22" t="str">
        <x:v>CSV ingest demo</x:v>
      </x:c>
      <x:c r="D8" s="22" t="str">
        <x:v>Authenticated CSV upload and job status</x:v>
      </x:c>
      <x:c r="E8" s="22" t="str">
        <x:v>Prospect-facing example demo</x:v>
      </x:c>
      <x:c r="F8" s="22" t="str">
        <x:v>Educational post + audience responses</x:v>
      </x:c>
      <x:c r="G8" s="22" t="str">
        <x:v>Actual first upload costs</x:v>
      </x:c>
      <x:c r="H8" s="22" t="str">
        <x:v>CSV tests, tenant isolation, staging health</x:v>
      </x:c>
      <x:c r="I8" s="22" t="str">
        <x:v>Recorded CSV demo + regression results</x:v>
      </x:c>
      <x:c r="J8" t="n">
        <x:f>COUNTIF('Daily Tasks'!$B$6:$B$203,A8)</x:f>
        <x:v>15</x:v>
      </x:c>
      <x:c r="K8" t="n">
        <x:f>COUNTIFS('Daily Tasks'!$B$6:$B$203,A8,'Daily Tasks'!$I$6:$I$203,"Done")</x:f>
        <x:v>0</x:v>
      </x:c>
      <x:c r="L8" s="24" t="n">
        <x:f>IFERROR(K8/J8,0)</x:f>
        <x:v>0</x:v>
      </x:c>
      <x:c r="M8" t="str">
        <x:v>Not reviewed</x:v>
      </x:c>
      <x:c r="N8" s="22" t="str">
        <x:v>Gate: Authenticated upload → job → parsed dataset works on test data; authorization tests pass.</x:v>
      </x:c>
    </x:row>
    <x:row r="9" ht="74" customHeight="1">
      <x:c r="A9" t="str">
        <x:v>W04</x:v>
      </x:c>
      <x:c r="B9" t="str">
        <x:v>Nov 03 – Nov 09</x:v>
      </x:c>
      <x:c r="C9" s="22" t="str">
        <x:v>XLSX mapping demo</x:v>
      </x:c>
      <x:c r="D9" s="22" t="str">
        <x:v>XLSX import, schema proposal and preview</x:v>
      </x:c>
      <x:c r="E9" s="22" t="str">
        <x:v>Design partner workflow confirmed</x:v>
      </x:c>
      <x:c r="F9" s="22" t="str">
        <x:v>Waitlist wireframe + before/after storyboard</x:v>
      </x:c>
      <x:c r="G9" s="22" t="str">
        <x:v>3-month spend forecast</x:v>
      </x:c>
      <x:c r="H9" s="22" t="str">
        <x:v>Restore-tested backup and mapping tests</x:v>
      </x:c>
      <x:c r="I9" s="22" t="str">
        <x:v>Mapped XLSX fixture + data quality report</x:v>
      </x:c>
      <x:c r="J9" t="n">
        <x:f>COUNTIF('Daily Tasks'!$B$6:$B$203,A9)</x:f>
        <x:v>15</x:v>
      </x:c>
      <x:c r="K9" t="n">
        <x:f>COUNTIFS('Daily Tasks'!$B$6:$B$203,A9,'Daily Tasks'!$I$6:$I$203,"Done")</x:f>
        <x:v>0</x:v>
      </x:c>
      <x:c r="L9" s="24" t="n">
        <x:f>IFERROR(K9/J9,0)</x:f>
        <x:v>0</x:v>
      </x:c>
      <x:c r="M9" t="str">
        <x:v>Not reviewed</x:v>
      </x:c>
      <x:c r="N9" s="22" t="str">
        <x:v>Gate: CSV/XLSX tables preview reliably; field mappings editable; partner workflows confirmed.</x:v>
      </x:c>
    </x:row>
    <x:row r="10" ht="74" customHeight="1">
      <x:c r="A10" t="str">
        <x:v>W05</x:v>
      </x:c>
      <x:c r="B10" t="str">
        <x:v>Nov 10 – Nov 16</x:v>
      </x:c>
      <x:c r="C10" s="22" t="str">
        <x:v>Traceable corrected dataset</x:v>
      </x:c>
      <x:c r="D10" s="22" t="str">
        <x:v>Corrections, edit history, source lineage; PDF feasibility</x:v>
      </x:c>
      <x:c r="E10" s="22" t="str">
        <x:v>Observed correction/reconciliation process</x:v>
      </x:c>
      <x:c r="F10" s="22" t="str">
        <x:v>Prototype landing page + demo script</x:v>
      </x:c>
      <x:c r="G10" s="22" t="str">
        <x:v>Parser/processing cost benchmark</x:v>
      </x:c>
      <x:c r="H10" s="22" t="str">
        <x:v>Lineage tests + retention/deletion draft</x:v>
      </x:c>
      <x:c r="I10" s="22" t="str">
        <x:v>Verified data correction and provenance demo</x:v>
      </x:c>
      <x:c r="J10" t="n">
        <x:f>COUNTIF('Daily Tasks'!$B$6:$B$203,A10)</x:f>
        <x:v>15</x:v>
      </x:c>
      <x:c r="K10" t="n">
        <x:f>COUNTIFS('Daily Tasks'!$B$6:$B$203,A10,'Daily Tasks'!$I$6:$I$203,"Done")</x:f>
        <x:v>0</x:v>
      </x:c>
      <x:c r="L10" s="24" t="n">
        <x:f>IFERROR(K10/J10,0)</x:f>
        <x:v>0</x:v>
      </x:c>
      <x:c r="M10" t="str">
        <x:v>Not reviewed</x:v>
      </x:c>
      <x:c r="N10" s="22" t="str">
        <x:v>Gate: User corrects extracted records; source provenance persists; text-PDF feasibility known.</x:v>
      </x:c>
    </x:row>
    <x:row r="11" ht="74" customHeight="1">
      <x:c r="A11" t="str">
        <x:v>W06</x:v>
      </x:c>
      <x:c r="B11" t="str">
        <x:v>Nov 17 – Nov 23</x:v>
      </x:c>
      <x:c r="C11" s="22" t="str">
        <x:v>Structured AI planner</x:v>
      </x:c>
      <x:c r="D11" s="22" t="str">
        <x:v>Prompt → validated allowlisted artifact JSON</x:v>
      </x:c>
      <x:c r="E11" s="22" t="str">
        <x:v>Five real prompt requests</x:v>
      </x:c>
      <x:c r="F11" s="22" t="str">
        <x:v>Progress messaging and positioning comparison</x:v>
      </x:c>
      <x:c r="G11" s="22" t="str">
        <x:v>AI cost-per-spec evidence</x:v>
      </x:c>
      <x:c r="H11" s="22" t="str">
        <x:v>Golden prompt suite + policy rejection evidence</x:v>
      </x:c>
      <x:c r="I11" s="22" t="str">
        <x:v>Safe planner demo with unsupported request fallback</x:v>
      </x:c>
      <x:c r="J11" t="n">
        <x:f>COUNTIF('Daily Tasks'!$B$6:$B$203,A11)</x:f>
        <x:v>15</x:v>
      </x:c>
      <x:c r="K11" t="n">
        <x:f>COUNTIFS('Daily Tasks'!$B$6:$B$203,A11,'Daily Tasks'!$I$6:$I$203,"Done")</x:f>
        <x:v>0</x:v>
      </x:c>
      <x:c r="L11" s="24" t="n">
        <x:f>IFERROR(K11/J11,0)</x:f>
        <x:v>0</x:v>
      </x:c>
      <x:c r="M11" t="str">
        <x:v>Not reviewed</x:v>
      </x:c>
      <x:c r="N11" s="22" t="str">
        <x:v>Gate: Natural language generates safe JSON table spec; unsafe requests are rejected.</x:v>
      </x:c>
    </x:row>
    <x:row r="12" ht="74" customHeight="1">
      <x:c r="A12" t="str">
        <x:v>W07</x:v>
      </x:c>
      <x:c r="B12" t="str">
        <x:v>Nov 24 – Nov 30</x:v>
      </x:c>
      <x:c r="C12" s="22" t="str">
        <x:v>Persistent tables</x:v>
      </x:c>
      <x:c r="D12" s="22" t="str">
        <x:v>Parameterized query engine + saved sortable table</x:v>
      </x:c>
      <x:c r="E12" s="22" t="str">
        <x:v>First partner table demo and feedback</x:v>
      </x:c>
      <x:c r="F12" s="22" t="str">
        <x:v>Data-to-workspace one-pager</x:v>
      </x:c>
      <x:c r="G12" s="22" t="str">
        <x:v>Measured per-query contribution model</x:v>
      </x:c>
      <x:c r="H12" s="22" t="str">
        <x:v>Tenant/query/persistence tests</x:v>
      </x:c>
      <x:c r="I12" s="22" t="str">
        <x:v>Saved table demo + checked invoice totals</x:v>
      </x:c>
      <x:c r="J12" t="n">
        <x:f>COUNTIF('Daily Tasks'!$B$6:$B$203,A12)</x:f>
        <x:v>15</x:v>
      </x:c>
      <x:c r="K12" t="n">
        <x:f>COUNTIFS('Daily Tasks'!$B$6:$B$203,A12,'Daily Tasks'!$I$6:$I$203,"Done")</x:f>
        <x:v>0</x:v>
      </x:c>
      <x:c r="L12" s="24" t="n">
        <x:f>IFERROR(K12/J12,0)</x:f>
        <x:v>0</x:v>
      </x:c>
      <x:c r="M12" t="str">
        <x:v>Not reviewed</x:v>
      </x:c>
      <x:c r="N12" s="22" t="str">
        <x:v>Gate: Generated tables save/reopen and SQL totals match independently verified dataset.</x:v>
      </x:c>
    </x:row>
    <x:row r="13" ht="74" customHeight="1">
      <x:c r="A13" t="str">
        <x:v>W08</x:v>
      </x:c>
      <x:c r="B13" t="str">
        <x:v>Dec 01 – Dec 07</x:v>
      </x:c>
      <x:c r="C13" s="22" t="str">
        <x:v>Generated dashboards</x:v>
      </x:c>
      <x:c r="D13" s="22" t="str">
        <x:v>Charts, dashboards, saved modifications</x:v>
      </x:c>
      <x:c r="E13" s="22" t="str">
        <x:v>Observed demo + pricing responses</x:v>
      </x:c>
      <x:c r="F13" s="22" t="str">
        <x:v>Demo recording + accurate waitlist</x:v>
      </x:c>
      <x:c r="G13" s="22" t="str">
        <x:v>Dashboard and support unit economics</x:v>
      </x:c>
      <x:c r="H13" s="22" t="str">
        <x:v>10-prompt benchmark + onboarding guide</x:v>
      </x:c>
      <x:c r="I13" s="22" t="str">
        <x:v>Reproducible dashboard and scorecard</x:v>
      </x:c>
      <x:c r="J13" t="n">
        <x:f>COUNTIF('Daily Tasks'!$B$6:$B$203,A13)</x:f>
        <x:v>15</x:v>
      </x:c>
      <x:c r="K13" t="n">
        <x:f>COUNTIFS('Daily Tasks'!$B$6:$B$203,A13,'Daily Tasks'!$I$6:$I$203,"Done")</x:f>
        <x:v>0</x:v>
      </x:c>
      <x:c r="L13" s="24" t="n">
        <x:f>IFERROR(K13/J13,0)</x:f>
        <x:v>0</x:v>
      </x:c>
      <x:c r="M13" t="str">
        <x:v>Not reviewed</x:v>
      </x:c>
      <x:c r="N13" s="22" t="str">
        <x:v>Gate: One saved dashboard works without repeated AI calls; demo metrics are reproducible.</x:v>
      </x:c>
    </x:row>
    <x:row r="14" ht="74" customHeight="1">
      <x:c r="A14" t="str">
        <x:v>W09</x:v>
      </x:c>
      <x:c r="B14" t="str">
        <x:v>Dec 08 – Dec 14</x:v>
      </x:c>
      <x:c r="C14" s="22" t="str">
        <x:v>Controlled refresh</x:v>
      </x:c>
      <x:c r="D14" s="22" t="str">
        <x:v>Scheduled refresh, exceptions, logs, retries</x:v>
      </x:c>
      <x:c r="E14" s="22" t="str">
        <x:v>Automation value feedback + client boundaries</x:v>
      </x:c>
      <x:c r="F14" s="22" t="str">
        <x:v>Workflow scenario + FAQ</x:v>
      </x:c>
      <x:c r="G14" s="22" t="str">
        <x:v>Per-run cost ceiling</x:v>
      </x:c>
      <x:c r="H14" s="22" t="str">
        <x:v>Idempotent retry and failure recovery tests</x:v>
      </x:c>
      <x:c r="I14" s="22" t="str">
        <x:v>Safe repeated run demo</x:v>
      </x:c>
      <x:c r="J14" t="n">
        <x:f>COUNTIF('Daily Tasks'!$B$6:$B$203,A14)</x:f>
        <x:v>15</x:v>
      </x:c>
      <x:c r="K14" t="n">
        <x:f>COUNTIFS('Daily Tasks'!$B$6:$B$203,A14,'Daily Tasks'!$I$6:$I$203,"Done")</x:f>
        <x:v>0</x:v>
      </x:c>
      <x:c r="L14" s="24" t="n">
        <x:f>IFERROR(K14/J14,0)</x:f>
        <x:v>0</x:v>
      </x:c>
      <x:c r="M14" t="str">
        <x:v>Not reviewed</x:v>
      </x:c>
      <x:c r="N14" s="22" t="str">
        <x:v>Gate: Scheduled refresh and exception list run safely with auditable state and retry limits.</x:v>
      </x:c>
    </x:row>
    <x:row r="15" ht="74" customHeight="1">
      <x:c r="A15" t="str">
        <x:v>W10</x:v>
      </x:c>
      <x:c r="B15" t="str">
        <x:v>Dec 15 – Dec 21</x:v>
      </x:c>
      <x:c r="C15" s="22" t="str">
        <x:v>Pilot-readiness gate</x:v>
      </x:c>
      <x:c r="D15" s="22" t="str">
        <x:v>Usage caps, metering, security remediation</x:v>
      </x:c>
      <x:c r="E15" s="22" t="str">
        <x:v>Two scoped pilot agreements targeted</x:v>
      </x:c>
      <x:c r="F15" s="22" t="str">
        <x:v>Pilot FAQ + transparent limits</x:v>
      </x:c>
      <x:c r="G15" s="22" t="str">
        <x:v>Approved pilot price and cost guards</x:v>
      </x:c>
      <x:c r="H15" s="22" t="str">
        <x:v>End-to-end QA, consent, restore, support setup</x:v>
      </x:c>
      <x:c r="I15" s="22" t="str">
        <x:v>PASS/DEFER pilot readiness memo</x:v>
      </x:c>
      <x:c r="J15" t="n">
        <x:f>COUNTIF('Daily Tasks'!$B$6:$B$203,A15)</x:f>
        <x:v>15</x:v>
      </x:c>
      <x:c r="K15" t="n">
        <x:f>COUNTIFS('Daily Tasks'!$B$6:$B$203,A15,'Daily Tasks'!$I$6:$I$203,"Done")</x:f>
        <x:v>0</x:v>
      </x:c>
      <x:c r="L15" s="24" t="n">
        <x:f>IFERROR(K15/J15,0)</x:f>
        <x:v>0</x:v>
      </x:c>
      <x:c r="M15" t="str">
        <x:v>Not reviewed</x:v>
      </x:c>
      <x:c r="N15" s="22" t="str">
        <x:v>Gate: Budget caps and quota enforcement work; privacy/consent and pilot acceptance are approved.</x:v>
      </x:c>
    </x:row>
    <x:row r="16" ht="74" customHeight="1">
      <x:c r="A16" t="str">
        <x:v>W11</x:v>
      </x:c>
      <x:c r="B16" t="str">
        <x:v>Dec 22 – Dec 28</x:v>
      </x:c>
      <x:c r="C16" s="22" t="str">
        <x:v>Pilot A / conditional</x:v>
      </x:c>
      <x:c r="D16" s="22" t="str">
        <x:v>Fix defects from first partner</x:v>
      </x:c>
      <x:c r="E16" s="22" t="str">
        <x:v>Pilot A time baseline + review</x:v>
      </x:c>
      <x:c r="F16" s="22" t="str">
        <x:v>Consent-based case notes</x:v>
      </x:c>
      <x:c r="G16" s="22" t="str">
        <x:v>Actual cost per action + support time</x:v>
      </x:c>
      <x:c r="H16" s="22" t="str">
        <x:v>Partner A accuracy/permission signoff</x:v>
      </x:c>
      <x:c r="I16" s="22" t="str">
        <x:v>Pilot A evidence report or defer reason</x:v>
      </x:c>
      <x:c r="J16" t="n">
        <x:f>COUNTIF('Daily Tasks'!$B$6:$B$203,A16)</x:f>
        <x:v>15</x:v>
      </x:c>
      <x:c r="K16" t="n">
        <x:f>COUNTIFS('Daily Tasks'!$B$6:$B$203,A16,'Daily Tasks'!$I$6:$I$203,"Done")</x:f>
        <x:v>0</x:v>
      </x:c>
      <x:c r="L16" s="24" t="n">
        <x:f>IFERROR(K16/J16,0)</x:f>
        <x:v>0</x:v>
      </x:c>
      <x:c r="M16" t="str">
        <x:v>Not reviewed</x:v>
      </x:c>
      <x:c r="N16" s="22" t="str">
        <x:v>Gate: One authorized partner completes a task end-to-end; measurable baseline recorded.</x:v>
      </x:c>
    </x:row>
    <x:row r="17" ht="74" customHeight="1">
      <x:c r="A17" t="str">
        <x:v>W12</x:v>
      </x:c>
      <x:c r="B17" t="str">
        <x:v>Dec 29 – Jan 04</x:v>
      </x:c>
      <x:c r="C17" s="22" t="str">
        <x:v>Pilot B / conditional</x:v>
      </x:c>
      <x:c r="D17" s="22" t="str">
        <x:v>Repeat/fix validated flow for second partner</x:v>
      </x:c>
      <x:c r="E17" s="22" t="str">
        <x:v>Pilot B willingness-to-pay evidence</x:v>
      </x:c>
      <x:c r="F17" s="22" t="str">
        <x:v>Outcome comparison draft</x:v>
      </x:c>
      <x:c r="G17" s="22" t="str">
        <x:v>Actual cost/customer comparison</x:v>
      </x:c>
      <x:c r="H17" s="22" t="str">
        <x:v>Regression plus partner B evidence</x:v>
      </x:c>
      <x:c r="I17" s="22" t="str">
        <x:v>Pilot B comparison or defer reason</x:v>
      </x:c>
      <x:c r="J17" t="n">
        <x:f>COUNTIF('Daily Tasks'!$B$6:$B$203,A17)</x:f>
        <x:v>15</x:v>
      </x:c>
      <x:c r="K17" t="n">
        <x:f>COUNTIFS('Daily Tasks'!$B$6:$B$203,A17,'Daily Tasks'!$I$6:$I$203,"Done")</x:f>
        <x:v>0</x:v>
      </x:c>
      <x:c r="L17" s="24" t="n">
        <x:f>IFERROR(K17/J17,0)</x:f>
        <x:v>0</x:v>
      </x:c>
      <x:c r="M17" t="str">
        <x:v>Not reviewed</x:v>
      </x:c>
      <x:c r="N17" s="22" t="str">
        <x:v>Gate: Second partner completes a comparable flow; collect measured time and cost data.</x:v>
      </x:c>
    </x:row>
    <x:row r="18" ht="74" customHeight="1">
      <x:c r="A18" t="str">
        <x:v>W13</x:v>
      </x:c>
      <x:c r="B18" t="str">
        <x:v>Jan 05 – Jan 11</x:v>
      </x:c>
      <x:c r="C18" s="22" t="str">
        <x:v>Release candidate decision</x:v>
      </x:c>
      <x:c r="D18" s="22" t="str">
        <x:v>P0 bugs resolved, RC branch, release docs</x:v>
      </x:c>
      <x:c r="E18" s="22" t="str">
        <x:v>Next-month pipeline + conversion responses</x:v>
      </x:c>
      <x:c r="F18" s="22" t="str">
        <x:v>Evidence-based launch messaging</x:v>
      </x:c>
      <x:c r="G18" s="22" t="str">
        <x:v>Pricing, runway, and 36-month contract review</x:v>
      </x:c>
      <x:c r="H18" s="22" t="str">
        <x:v>Backup + end-to-end QA + support plan</x:v>
      </x:c>
      <x:c r="I18" s="22" t="str">
        <x:v>Go/no-go package for Jan 12</x:v>
      </x:c>
      <x:c r="J18" t="n">
        <x:f>COUNTIF('Daily Tasks'!$B$6:$B$203,A18)</x:f>
        <x:v>15</x:v>
      </x:c>
      <x:c r="K18" t="n">
        <x:f>COUNTIFS('Daily Tasks'!$B$6:$B$203,A18,'Daily Tasks'!$I$6:$I$203,"Done")</x:f>
        <x:v>0</x:v>
      </x:c>
      <x:c r="L18" s="24" t="n">
        <x:f>IFERROR(K18/J18,0)</x:f>
        <x:v>0</x:v>
      </x:c>
      <x:c r="M18" t="str">
        <x:v>Not reviewed</x:v>
      </x:c>
      <x:c r="N18" s="22" t="str">
        <x:v>Gate: Release candidate evidence, packaging/pricing decision and launch/no-go memo complete.</x:v>
      </x:c>
    </x:row>
  </x:sheetData>
  <x:mergeCells>
    <x:mergeCell ref="A1:N2"/>
  </x:mergeCells>
  <x:conditionalFormatting sqref="M6:M18">
    <x:cfRule type="expression" dxfId="3" priority="1">
      <x:formula>M6="Pass"</x:formula>
    </x:cfRule>
    <x:cfRule type="expression" dxfId="4" priority="2">
      <x:formula>M6="Fail"</x:formula>
    </x:cfRule>
  </x:conditionalFormatting>
  <x:conditionalFormatting sqref="L6:L18">
    <x:cfRule type="dataBar" priority="3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{80CA3406-D61D-A391-79CA-D3505B8B4263}</x14:id>
        </x:ext>
      </x:extLst>
    </x:cfRule>
  </x:conditionalFormatting>
  <x:dataValidations count="1">
    <x:dataValidation type="list" sqref="M6:M18">
      <x:formula1>"Not reviewed,Pass,Conditional,Defer,Fail"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bf0e01009d49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80CA3406-D61D-A391-79CA-D3505B8B4263}">
            <x14:dataBar gradient="1">
              <x14:cfvo type="min"/>
              <x14:cfvo type="max"/>
              <x14:fillColor rgb="FF3B82F6"/>
            </x14:dataBar>
          </x14:cfRule>
          <xm:sqref>L6:L18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29" hidden="0" customWidth="1"/>
    <x:col min="3" max="3" width="2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6" customHeight="1">
      <x:c r="A1" s="4" t="str">
        <x:v>OPERO  |  THREE-MONTH CASH RUNWAY</x:v>
      </x:c>
      <x:c r="B1" s="4"/>
      <x:c r="C1" s="4"/>
      <x:c r="D1" s="4"/>
      <x:c r="E1" s="4"/>
      <x:c r="F1" s="4"/>
      <x:c r="G1" s="4"/>
      <x:c r="H1" s="4"/>
    </x:row>
    <x:row r="2" ht="36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8" t="str">
        <x:v>Scenario inputs are editable proposals—not verified provider quotes or actual committed spending. No founder salaries included.</x:v>
      </x:c>
    </x:row>
    <x:row r="5" ht="25" customHeight="1">
      <x:c r="A5" t="str">
        <x:v>Planning PHP per USD</x:v>
      </x:c>
      <x:c r="B5" s="42" t="n">
        <x:v>60</x:v>
      </x:c>
    </x:row>
    <x:row r="6" ht="25" customHeight="1">
      <x:c r="A6" t="str">
        <x:v>Starting cash available (PHP)</x:v>
      </x:c>
      <x:c r="B6" s="42" t="n">
        <x:v>0</x:v>
      </x:c>
    </x:row>
    <x:row r="7" ht="25" customHeight="1">
      <x:c r="A7" t="str">
        <x:v>Months in plan</x:v>
      </x:c>
      <x:c r="B7" s="42" t="n">
        <x:v>3</x:v>
      </x:c>
    </x:row>
    <x:row r="9" ht="28" customHeight="1">
      <x:c r="A9" s="28" t="str">
        <x:v>EDITABLE COST DRIVERS</x:v>
      </x:c>
      <x:c r="B9" s="28" t="str">
        <x:v>Lean build</x:v>
      </x:c>
      <x:c r="C9" s="28" t="str">
        <x:v>Pilot-ready case</x:v>
      </x:c>
    </x:row>
    <x:row r="10" ht="26" customHeight="1">
      <x:c r="A10" s="13" t="str">
        <x:v>Monthly cost item / currency</x:v>
      </x:c>
      <x:c r="B10" s="13" t="str">
        <x:v>Lean build</x:v>
      </x:c>
      <x:c r="C10" s="13" t="str">
        <x:v>Pilot-ready</x:v>
      </x:c>
    </x:row>
    <x:row r="11">
      <x:c r="A11" t="str">
        <x:v>Claude Code / developer tool (USD)</x:v>
      </x:c>
      <x:c r="B11" s="42" t="n">
        <x:v>20</x:v>
      </x:c>
      <x:c r="C11" s="42" t="n">
        <x:v>20</x:v>
      </x:c>
    </x:row>
    <x:row r="12">
      <x:c r="A12" t="str">
        <x:v>Codex or second coding tool (USD)</x:v>
      </x:c>
      <x:c r="B12" s="42" t="n">
        <x:v>20</x:v>
      </x:c>
      <x:c r="C12" s="42" t="n">
        <x:v>20</x:v>
      </x:c>
    </x:row>
    <x:row r="13">
      <x:c r="A13" t="str">
        <x:v>App + database hosting (USD)</x:v>
      </x:c>
      <x:c r="B13" s="42" t="n">
        <x:v>35</x:v>
      </x:c>
      <x:c r="C13" s="42" t="n">
        <x:v>90</x:v>
      </x:c>
    </x:row>
    <x:row r="14">
      <x:c r="A14" t="str">
        <x:v>Customer-facing AI experiments (USD)</x:v>
      </x:c>
      <x:c r="B14" s="42" t="n">
        <x:v>15</x:v>
      </x:c>
      <x:c r="C14" s="42" t="n">
        <x:v>45</x:v>
      </x:c>
    </x:row>
    <x:row r="15">
      <x:c r="A15" t="str">
        <x:v>File/object storage (USD)</x:v>
      </x:c>
      <x:c r="B15" s="42" t="n">
        <x:v>0</x:v>
      </x:c>
      <x:c r="C15" s="42" t="n">
        <x:v>10</x:v>
      </x:c>
    </x:row>
    <x:row r="16">
      <x:c r="A16" t="str">
        <x:v>Email / notifications (USD)</x:v>
      </x:c>
      <x:c r="B16" s="42" t="n">
        <x:v>0</x:v>
      </x:c>
      <x:c r="C16" s="42" t="n">
        <x:v>20</x:v>
      </x:c>
    </x:row>
    <x:row r="17">
      <x:c r="A17" t="str">
        <x:v>Logs / analytics monitoring (USD)</x:v>
      </x:c>
      <x:c r="B17" s="42" t="n">
        <x:v>0</x:v>
      </x:c>
      <x:c r="C17" s="42" t="n">
        <x:v>10</x:v>
      </x:c>
    </x:row>
    <x:row r="18">
      <x:c r="A18" t="str">
        <x:v>Local outreach / internet / travel (PHP)</x:v>
      </x:c>
      <x:c r="B18" s="42" t="n">
        <x:v>1000</x:v>
      </x:c>
      <x:c r="C18" s="42" t="n">
        <x:v>2500</x:v>
      </x:c>
    </x:row>
    <x:row r="19">
      <x:c r="A19" t="str">
        <x:v>Contingency (%)</x:v>
      </x:c>
      <x:c r="B19" s="44" t="n">
        <x:v>0.15</x:v>
      </x:c>
      <x:c r="C19" s="44" t="n">
        <x:v>0.15</x:v>
      </x:c>
    </x:row>
    <x:row r="21" ht="28" customHeight="1">
      <x:c r="A21" t="str">
        <x:v>Software services monthly (USD)</x:v>
      </x:c>
      <x:c r="B21" s="32" t="n">
        <x:f>SUM(B11:B17)</x:f>
        <x:v>90</x:v>
      </x:c>
      <x:c r="C21" s="32" t="n">
        <x:f>SUM(C11:C17)</x:f>
        <x:v>215</x:v>
      </x:c>
    </x:row>
    <x:row r="22" ht="28" customHeight="1">
      <x:c r="A22" t="str">
        <x:v>Monthly baseline (PHP)</x:v>
      </x:c>
      <x:c r="B22" s="32" t="n">
        <x:f>B21*$B$5+B18</x:f>
        <x:v>6400</x:v>
      </x:c>
      <x:c r="C22" s="32" t="n">
        <x:f>C21*$B$5+C18</x:f>
        <x:v>15400</x:v>
      </x:c>
    </x:row>
    <x:row r="23" ht="29" customHeight="1">
      <x:c r="A23" s="36" t="str">
        <x:v>Monthly total + contingency (PHP)</x:v>
      </x:c>
      <x:c r="B23" s="37" t="n">
        <x:f>B22*(1+B19)</x:f>
        <x:v>7359.999999999999</x:v>
      </x:c>
      <x:c r="C23" s="37" t="n">
        <x:f>C22*(1+C19)</x:f>
        <x:v>17710</x:v>
      </x:c>
    </x:row>
    <x:row r="24" ht="29" customHeight="1">
      <x:c r="A24" s="36" t="str">
        <x:v>3-month budget (PHP)</x:v>
      </x:c>
      <x:c r="B24" s="37" t="n">
        <x:f>B23*$B$7</x:f>
        <x:v>22079.999999999996</x:v>
      </x:c>
      <x:c r="C24" s="37" t="n">
        <x:f>C23*$B$7</x:f>
        <x:v>53130</x:v>
      </x:c>
    </x:row>
    <x:row r="25">
      <x:c r="A25" t="str">
        <x:v>Cash remaining after 3 months (PHP)</x:v>
      </x:c>
      <x:c r="B25" s="32" t="str">
        <x:f>IF($B$6&gt;0,$B$6-B24,"Enter available cash")</x:f>
        <x:v>Enter available cash</x:v>
      </x:c>
      <x:c r="C25" s="32" t="str">
        <x:f>IF($B$6&gt;0,$B$6-C24,"Enter available cash")</x:f>
        <x:v>Enter available cash</x:v>
      </x:c>
    </x:row>
    <x:row r="26">
      <x:c r="A26" t="str">
        <x:v>Estimated months cash covers</x:v>
      </x:c>
      <x:c r="B26" s="32" t="str">
        <x:f>IF($B$6&gt;0,$B$6/B23,"Enter available cash")</x:f>
        <x:v>Enter available cash</x:v>
      </x:c>
      <x:c r="C26" s="32" t="str">
        <x:f>IF($B$6&gt;0,$B$6/C23,"Enter available cash")</x:f>
        <x:v>Enter available cash</x:v>
      </x:c>
    </x:row>
    <x:row r="27">
      <x:c r="A27" t="str">
        <x:v>Interpretation</x:v>
      </x:c>
      <x:c r="B27" t="str">
        <x:v>Use if staying on free tiers and assisted testing</x:v>
      </x:c>
      <x:c r="C27" t="str">
        <x:v>Use only when actively paying for production-like services</x:v>
      </x:c>
    </x:row>
    <x:row r="29" ht="28" customHeight="1">
      <x:c r="A29" s="28" t="str">
        <x:v>COST BOUNDARIES</x:v>
      </x:c>
      <x:c r="B29" s="28" t="str"/>
      <x:c r="C29" s="28" t="str"/>
      <x:c r="D29" s="28" t="str"/>
      <x:c r="E29" s="28" t="str"/>
      <x:c r="F29" s="28" t="str"/>
      <x:c r="G29" s="28" t="str"/>
      <x:c r="H29" s="28" t="str"/>
    </x:row>
    <x:row r="30" ht="30" customHeight="1">
      <x:c r="A30" t="str">
        <x:v>Budget status</x:v>
      </x:c>
      <x:c r="B30" s="22" t="str">
        <x:v>Draft planning input; validate invoices and provider tiers</x:v>
      </x:c>
      <x:c r="C30" s="22"/>
      <x:c r="D30" s="22"/>
      <x:c r="E30" s="22"/>
      <x:c r="F30" s="22"/>
      <x:c r="G30" s="22"/>
      <x:c r="H30" s="22"/>
    </x:row>
    <x:row r="31" ht="30" customHeight="1">
      <x:c r="A31" t="str">
        <x:v>Not included</x:v>
      </x:c>
      <x:c r="B31" s="22" t="str">
        <x:v>Founder labor; taxes; card fees; refunds; legal and compliance work</x:v>
      </x:c>
      <x:c r="C31" s="22"/>
      <x:c r="D31" s="22"/>
      <x:c r="E31" s="22"/>
      <x:c r="F31" s="22"/>
      <x:c r="G31" s="22"/>
      <x:c r="H31" s="22"/>
    </x:row>
    <x:row r="32" ht="30" customHeight="1">
      <x:c r="A32" t="str">
        <x:v>Payment policy</x:v>
      </x:c>
      <x:c r="B32" s="22" t="str">
        <x:v>Never bill unlimited AI processing; quota before costly operations</x:v>
      </x:c>
      <x:c r="C32" s="22"/>
      <x:c r="D32" s="22"/>
      <x:c r="E32" s="22"/>
      <x:c r="F32" s="22"/>
      <x:c r="G32" s="22"/>
      <x:c r="H32" s="22"/>
    </x:row>
    <x:row r="33" ht="30" customHeight="1">
      <x:c r="A33" t="str">
        <x:v>Infrastructure policy</x:v>
      </x:c>
      <x:c r="B33" s="22" t="str">
        <x:v>Choose one managed database; don't pay twice for the same DB</x:v>
      </x:c>
      <x:c r="C33" s="22"/>
      <x:c r="D33" s="22"/>
      <x:c r="E33" s="22"/>
      <x:c r="F33" s="22"/>
      <x:c r="G33" s="22"/>
      <x:c r="H33" s="22"/>
    </x:row>
    <x:row r="34" ht="30" customHeight="1">
      <x:c r="A34" t="str">
        <x:v>Contracts policy</x:v>
      </x:c>
      <x:c r="B34" s="22" t="str">
        <x:v>₱45,000 / 36 months equals ₱1,250/month; ₱1,200/month would be ₱43,200 over 36 months</x:v>
      </x:c>
      <x:c r="C34" s="22"/>
      <x:c r="D34" s="22"/>
      <x:c r="E34" s="22"/>
      <x:c r="F34" s="22"/>
      <x:c r="G34" s="22"/>
      <x:c r="H34" s="22"/>
    </x:row>
  </x:sheetData>
  <x:mergeCells>
    <x:mergeCell ref="A1:H2"/>
    <x:mergeCell ref="B30:H30"/>
    <x:mergeCell ref="B31:H31"/>
    <x:mergeCell ref="B32:H32"/>
    <x:mergeCell ref="B33:H33"/>
    <x:mergeCell ref="B34:H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5" hidden="0" customWidth="1"/>
    <x:col min="4" max="4" width="58" hidden="0" customWidth="1"/>
    <x:col min="5" max="5" width="20" hidden="0" customWidth="1"/>
    <x:col min="6" max="6" width="34" hidden="0" customWidth="1"/>
    <x:col min="7" max="7" width="12" hidden="0" customWidth="1"/>
  </x:cols>
  <x:sheetData>
    <x:row r="1" ht="36" customHeight="1">
      <x:c r="A1" s="4" t="str">
        <x:v>OPERO  |  PEOPLE, ACCOUNTABILITY &amp; RELEASE GATES</x:v>
      </x:c>
      <x:c r="B1" s="4"/>
      <x:c r="C1" s="4"/>
      <x:c r="D1" s="4"/>
      <x:c r="E1" s="4"/>
      <x:c r="F1" s="4"/>
      <x:c r="G1" s="4"/>
    </x:row>
    <x:row r="2" ht="36" customHeight="1">
      <x:c r="A2" s="4"/>
      <x:c r="B2" s="4"/>
      <x:c r="C2" s="4"/>
      <x:c r="D2" s="4"/>
      <x:c r="E2" s="4"/>
      <x:c r="F2" s="4"/>
      <x:c r="G2" s="4"/>
    </x:row>
    <x:row r="3" ht="25" customHeight="1">
      <x:c r="A3" s="8" t="str">
        <x:v>Three people / five functions. One accountable owner per function. Do not interpret the plan as five full-time hires.</x:v>
      </x:c>
    </x:row>
    <x:row r="5" ht="26" customHeight="1">
      <x:c r="A5" s="13" t="str">
        <x:v>Function</x:v>
      </x:c>
      <x:c r="B5" s="13" t="str">
        <x:v>Accountable owner</x:v>
      </x:c>
      <x:c r="C5" s="13" t="str">
        <x:v>Support</x:v>
      </x:c>
      <x:c r="D5" s="13" t="str">
        <x:v>Weekly time target</x:v>
      </x:c>
      <x:c r="E5" s="13" t="str">
        <x:v>Focus</x:v>
      </x:c>
      <x:c r="F5" s="13" t="str">
        <x:v>Weekly evidence</x:v>
      </x:c>
    </x:row>
    <x:row r="6" ht="47" customHeight="1">
      <x:c r="A6" t="str">
        <x:v>Engineering</x:v>
      </x:c>
      <x:c r="B6" s="22" t="str">
        <x:v>Founder / CEO</x:v>
      </x:c>
      <x:c r="C6" s="22" t="str">
        <x:v>Co-founder 2 (QA), Co-founder 1 (deployment)</x:v>
      </x:c>
      <x:c r="D6" t="n">
        <x:v>11</x:v>
      </x:c>
      <x:c r="E6" s="22" t="str">
        <x:v>Safe FastAPI, datasets, AI spec, artifacts, workflow</x:v>
      </x:c>
      <x:c r="F6" s="22" t="str">
        <x:v>Tests, reviewed code, deployable demo</x:v>
      </x:c>
    </x:row>
    <x:row r="7" ht="47" customHeight="1">
      <x:c r="A7" t="str">
        <x:v>Sales</x:v>
      </x:c>
      <x:c r="B7" s="22" t="str">
        <x:v>Founder / CEO</x:v>
      </x:c>
      <x:c r="C7" s="22" t="str">
        <x:v>Co-founder 1</x:v>
      </x:c>
      <x:c r="D7"/>
      <x:c r="E7" s="22" t="str">
        <x:v>Interviews, pilot qualification, closing</x:v>
      </x:c>
      <x:c r="F7" s="22" t="str">
        <x:v>Interview transcripts, proposals, meeting records</x:v>
      </x:c>
    </x:row>
    <x:row r="8" ht="47" customHeight="1">
      <x:c r="A8" t="str">
        <x:v>Marketing</x:v>
      </x:c>
      <x:c r="B8" s="22" t="str">
        <x:v>Co-founder 1</x:v>
      </x:c>
      <x:c r="C8" s="22" t="str">
        <x:v>Founder approves product claims</x:v>
      </x:c>
      <x:c r="D8" t="n">
        <x:v>6</x:v>
      </x:c>
      <x:c r="E8" s="22" t="str">
        <x:v>Problem-first messaging and prospect funnel</x:v>
      </x:c>
      <x:c r="F8" s="22" t="str">
        <x:v>Research, posts, lead attribution</x:v>
      </x:c>
    </x:row>
    <x:row r="9" ht="47" customHeight="1">
      <x:c r="A9" t="str">
        <x:v>Finance</x:v>
      </x:c>
      <x:c r="B9" s="22" t="str">
        <x:v>Founder / CEO</x:v>
      </x:c>
      <x:c r="C9" s="22" t="str">
        <x:v>Co-founder 1 records receipts</x:v>
      </x:c>
      <x:c r="D9"/>
      <x:c r="E9" s="22" t="str">
        <x:v>Cash burn, unit costs, cost caps, contract terms</x:v>
      </x:c>
      <x:c r="F9" s="22" t="str">
        <x:v>Expense ledger, scenarios, approvals</x:v>
      </x:c>
    </x:row>
    <x:row r="10" ht="47" customHeight="1">
      <x:c r="A10" t="str">
        <x:v>Operations</x:v>
      </x:c>
      <x:c r="B10" s="22" t="str">
        <x:v>Co-founder 1</x:v>
      </x:c>
      <x:c r="C10" s="22" t="str">
        <x:v>Co-founder 2 runs QA/docs</x:v>
      </x:c>
      <x:c r="D10" t="n">
        <x:v>5</x:v>
      </x:c>
      <x:c r="E10" s="22" t="str">
        <x:v>Deployments, backup, incidents, support readiness</x:v>
      </x:c>
      <x:c r="F10" s="22" t="str">
        <x:v>Restore evidence, runbooks, QA reports</x:v>
      </x:c>
    </x:row>
    <x:row r="12" ht="26" customHeight="1">
      <x:c r="A12" s="13" t="str">
        <x:v>P0 GATE</x:v>
      </x:c>
      <x:c r="B12" s="13" t="str">
        <x:v>What is mandatory before real-data pilot</x:v>
      </x:c>
      <x:c r="C12" s="13" t="str"/>
      <x:c r="D12" s="13" t="str"/>
      <x:c r="E12" s="13" t="str"/>
      <x:c r="F12" s="13" t="str"/>
    </x:row>
    <x:row r="13" ht="29" customHeight="1">
      <x:c r="A13" t="str">
        <x:v>Security</x:v>
      </x:c>
      <x:c r="B13" s="22" t="str">
        <x:v>Every request tenant-authorized; cross-tenant read/write, export and trigger tests pass</x:v>
      </x:c>
      <x:c r="C13" s="22"/>
      <x:c r="D13" s="22"/>
      <x:c r="E13" s="22"/>
      <x:c r="F13" s="22"/>
    </x:row>
    <x:row r="14" ht="29" customHeight="1">
      <x:c r="A14" t="str">
        <x:v>Correctness</x:v>
      </x:c>
      <x:c r="B14" s="22" t="str">
        <x:v>No silent data corruption; source traces and independently verified totals</x:v>
      </x:c>
      <x:c r="C14" s="22"/>
      <x:c r="D14" s="22"/>
      <x:c r="E14" s="22"/>
      <x:c r="F14" s="22"/>
    </x:row>
    <x:row r="15" ht="29" customHeight="1">
      <x:c r="A15" t="str">
        <x:v>AI safety</x:v>
      </x:c>
      <x:c r="B15" s="22" t="str">
        <x:v>Planner emits schema-constrained descriptions; no arbitrary generated code execution</x:v>
      </x:c>
      <x:c r="C15" s="22"/>
      <x:c r="D15" s="22"/>
      <x:c r="E15" s="22"/>
      <x:c r="F15" s="22"/>
    </x:row>
    <x:row r="16" ht="29" customHeight="1">
      <x:c r="A16" t="str">
        <x:v>Operational recovery</x:v>
      </x:c>
      <x:c r="B16" s="22" t="str">
        <x:v>Scheduled actions idempotent; restart and backup-restore tested</x:v>
      </x:c>
      <x:c r="C16" s="22"/>
      <x:c r="D16" s="22"/>
      <x:c r="E16" s="22"/>
      <x:c r="F16" s="22"/>
    </x:row>
    <x:row r="17" ht="29" customHeight="1">
      <x:c r="A17" t="str">
        <x:v>Cost governance</x:v>
      </x:c>
      <x:c r="B17" s="22" t="str">
        <x:v>Per-tenant and per-workflow caps; over-cap requests blocked</x:v>
      </x:c>
      <x:c r="C17" s="22"/>
      <x:c r="D17" s="22"/>
      <x:c r="E17" s="22"/>
      <x:c r="F17" s="22"/>
    </x:row>
    <x:row r="18" ht="29" customHeight="1">
      <x:c r="A18" t="str">
        <x:v>Privacy and consent</x:v>
      </x:c>
      <x:c r="B18" s="22" t="str">
        <x:v>Written pilot scope, access permissions, data deletion/retention terms</x:v>
      </x:c>
      <x:c r="C18" s="22"/>
      <x:c r="D18" s="22"/>
      <x:c r="E18" s="22"/>
      <x:c r="F18" s="22"/>
    </x:row>
    <x:row r="19" ht="29" customHeight="1">
      <x:c r="A19" t="str">
        <x:v>Support</x:v>
      </x:c>
      <x:c r="B19" s="22" t="str">
        <x:v>Named escalation owner and client-visible known limitations</x:v>
      </x:c>
      <x:c r="C19" s="22"/>
      <x:c r="D19" s="22"/>
      <x:c r="E19" s="22"/>
      <x:c r="F19" s="22"/>
    </x:row>
    <x:row r="21" ht="26" customHeight="1">
      <x:c r="A21" s="13" t="str">
        <x:v>MEETING CADENCE</x:v>
      </x:c>
      <x:c r="B21" s="13" t="str">
        <x:v>When</x:v>
      </x:c>
      <x:c r="C21" s="13" t="str">
        <x:v>Owner</x:v>
      </x:c>
      <x:c r="D21" s="13" t="str">
        <x:v>Action</x:v>
      </x:c>
      <x:c r="E21" s="13" t="str"/>
      <x:c r="F21" s="13" t="str"/>
    </x:row>
    <x:row r="22" ht="36" customHeight="1">
      <x:c r="A22" t="str">
        <x:v>Daily asynchronous</x:v>
      </x:c>
      <x:c r="B22" t="str">
        <x:v>At end of assigned day</x:v>
      </x:c>
      <x:c r="C22" t="str">
        <x:v>All founders</x:v>
      </x:c>
      <x:c r="D22" s="22" t="str">
        <x:v>Update ticket status/evidence/blockers in Daily Tasks</x:v>
      </x:c>
      <x:c r="E22" s="22" t="str"/>
      <x:c r="F22" s="22" t="str"/>
    </x:row>
    <x:row r="23" ht="36" customHeight="1">
      <x:c r="A23" t="str">
        <x:v>Weekly sprint review</x:v>
      </x:c>
      <x:c r="B23" t="str">
        <x:v>Monday, or next available workday</x:v>
      </x:c>
      <x:c r="C23" t="str">
        <x:v>Founder / CEO</x:v>
      </x:c>
      <x:c r="D23" s="22" t="str">
        <x:v>Check demos, pipeline, actual costs and blockers; decide next gate</x:v>
      </x:c>
      <x:c r="E23" s="22" t="str"/>
      <x:c r="F23" s="22" t="str"/>
    </x:row>
    <x:row r="24" ht="36" customHeight="1">
      <x:c r="A24" t="str">
        <x:v>Budget check</x:v>
      </x:c>
      <x:c r="B24" t="str">
        <x:v>Each Friday / flexible</x:v>
      </x:c>
      <x:c r="C24" t="str">
        <x:v>Founder / CEO</x:v>
      </x:c>
      <x:c r="D24" s="22" t="str">
        <x:v>Update spend, validate provider invoices, block unwanted overages</x:v>
      </x:c>
      <x:c r="E24" s="22" t="str"/>
      <x:c r="F24" s="22" t="str"/>
    </x:row>
    <x:row r="25" ht="36" customHeight="1">
      <x:c r="A25" t="str">
        <x:v>Launch decision</x:v>
      </x:c>
      <x:c r="B25" t="str">
        <x:v>Jan 12, 2027</x:v>
      </x:c>
      <x:c r="C25" t="str">
        <x:v>Founder / CEO</x:v>
      </x:c>
      <x:c r="D25" s="22" t="str">
        <x:v>Pass, conditional pilot extension or defer; document reasons</x:v>
      </x:c>
      <x:c r="E25" s="22" t="str"/>
      <x:c r="F25" s="22" t="str"/>
    </x:row>
  </x:sheetData>
  <x:mergeCells>
    <x:mergeCell ref="A1:G2"/>
    <x:mergeCell ref="B13:F13"/>
    <x:mergeCell ref="B14:F14"/>
    <x:mergeCell ref="B15:F15"/>
    <x:mergeCell ref="B16:F16"/>
    <x:mergeCell ref="B17:F17"/>
    <x:mergeCell ref="B18:F18"/>
    <x:mergeCell ref="B19:F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3" hidden="0" customWidth="1"/>
    <x:col min="3" max="3" width="14" hidden="0" customWidth="1"/>
    <x:col min="4" max="4" width="13" hidden="0" customWidth="1"/>
    <x:col min="5" max="5" width="20" hidden="0" customWidth="1"/>
    <x:col min="6" max="6" width="78" hidden="0" customWidth="1"/>
    <x:col min="7" max="7" width="23" hidden="0" customWidth="1"/>
    <x:col min="8" max="8" width="13" hidden="0" customWidth="1"/>
  </x:cols>
  <x:sheetData>
    <x:row r="1" ht="36" customHeight="1">
      <x:c r="A1" s="4" t="str">
        <x:v>OPERO  |  VALIDATION SCORECARD</x:v>
      </x:c>
      <x:c r="B1" s="4"/>
      <x:c r="C1" s="4"/>
      <x:c r="D1" s="4"/>
      <x:c r="E1" s="4"/>
      <x:c r="F1" s="4"/>
      <x:c r="G1" s="4"/>
      <x:c r="H1" s="4"/>
    </x:row>
    <x:row r="2" ht="36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8" t="str">
        <x:v>Enter Actual values weekly; targets are proposed acceptance gates, not forecasts.</x:v>
      </x:c>
    </x:row>
    <x:row r="5" ht="26" customHeight="1">
      <x:c r="A5" s="13" t="str">
        <x:v>Metric</x:v>
      </x:c>
      <x:c r="B5" s="13" t="str">
        <x:v>Target</x:v>
      </x:c>
      <x:c r="C5" s="13" t="str">
        <x:v>Actual</x:v>
      </x:c>
      <x:c r="D5" s="13" t="str">
        <x:v>Gap</x:v>
      </x:c>
      <x:c r="E5" s="13" t="str">
        <x:v>Unit</x:v>
      </x:c>
      <x:c r="F5" s="13" t="str">
        <x:v>Definition</x:v>
      </x:c>
      <x:c r="G5" s="13" t="str">
        <x:v>Owner</x:v>
      </x:c>
    </x:row>
    <x:row r="6" ht="43" customHeight="1">
      <x:c r="A6" t="str">
        <x:v>Customer discovery conversations</x:v>
      </x:c>
      <x:c r="B6" t="n">
        <x:v>15</x:v>
      </x:c>
      <x:c r="C6" s="42" t="n">
        <x:v>0</x:v>
      </x:c>
      <x:c r="D6" t="n">
        <x:f>C6-B6</x:f>
        <x:v>-15</x:v>
      </x:c>
      <x:c r="E6" t="str">
        <x:v>interviews</x:v>
      </x:c>
      <x:c r="F6" s="22" t="str">
        <x:v>Problem interviews with owners/admins; do not count marketing impressions</x:v>
      </x:c>
      <x:c r="G6" t="str">
        <x:v>Founder / CEO</x:v>
      </x:c>
    </x:row>
    <x:row r="7" ht="43" customHeight="1">
      <x:c r="A7" t="str">
        <x:v>Distinct workflows documented</x:v>
      </x:c>
      <x:c r="B7" t="n">
        <x:v>5</x:v>
      </x:c>
      <x:c r="C7" s="42" t="n">
        <x:v>0</x:v>
      </x:c>
      <x:c r="D7" t="n">
        <x:f>C7-B7</x:f>
        <x:v>-5</x:v>
      </x:c>
      <x:c r="E7" t="str">
        <x:v>workflows</x:v>
      </x:c>
      <x:c r="F7" s="22" t="str">
        <x:v>Observed real recurring process with current steps and time estimates</x:v>
      </x:c>
      <x:c r="G7" t="str">
        <x:v>Founder / CEO</x:v>
      </x:c>
    </x:row>
    <x:row r="8" ht="43" customHeight="1">
      <x:c r="A8" t="str">
        <x:v>Design partner commitments</x:v>
      </x:c>
      <x:c r="B8" t="n">
        <x:v>2</x:v>
      </x:c>
      <x:c r="C8" s="42" t="n">
        <x:v>0</x:v>
      </x:c>
      <x:c r="D8" t="n">
        <x:f>C8-B8</x:f>
        <x:v>-2</x:v>
      </x:c>
      <x:c r="E8" t="str">
        <x:v>commitments</x:v>
      </x:c>
      <x:c r="F8" s="22" t="str">
        <x:v>Qualified partner with agreed scope and permitted sample data</x:v>
      </x:c>
      <x:c r="G8" t="str">
        <x:v>Founder / CEO</x:v>
      </x:c>
    </x:row>
    <x:row r="9" ht="43" customHeight="1">
      <x:c r="A9" t="str">
        <x:v>Representative prompt tests passed</x:v>
      </x:c>
      <x:c r="B9" t="n">
        <x:v>10</x:v>
      </x:c>
      <x:c r="C9" s="42" t="n">
        <x:v>0</x:v>
      </x:c>
      <x:c r="D9" t="n">
        <x:f>C9-B9</x:f>
        <x:v>-10</x:v>
      </x:c>
      <x:c r="E9" t="str">
        <x:v>test cases</x:v>
      </x:c>
      <x:c r="F9" s="22" t="str">
        <x:v>Validated prompt-to-artifact against ground-truth fixtures</x:v>
      </x:c>
      <x:c r="G9" t="str">
        <x:v>Co-founder 2</x:v>
      </x:c>
    </x:row>
    <x:row r="10" ht="43" customHeight="1">
      <x:c r="A10" t="str">
        <x:v>High-severity security defects unresolved</x:v>
      </x:c>
      <x:c r="B10" t="n">
        <x:v>0</x:v>
      </x:c>
      <x:c r="C10" s="42" t="n">
        <x:v>0</x:v>
      </x:c>
      <x:c r="D10" t="n">
        <x:f>C10-B10</x:f>
        <x:v>0</x:v>
      </x:c>
      <x:c r="E10" t="str">
        <x:v>defects</x:v>
      </x:c>
      <x:c r="F10" s="22" t="str">
        <x:v>Must stay zero at any pilot/launch gate</x:v>
      </x:c>
      <x:c r="G10" t="str">
        <x:v>Co-founder 2</x:v>
      </x:c>
    </x:row>
    <x:row r="11" ht="43" customHeight="1">
      <x:c r="A11" t="str">
        <x:v>Customer pilot organizations</x:v>
      </x:c>
      <x:c r="B11" t="n">
        <x:v>2</x:v>
      </x:c>
      <x:c r="C11" s="42" t="n">
        <x:v>0</x:v>
      </x:c>
      <x:c r="D11" t="n">
        <x:f>C11-B11</x:f>
        <x:v>-2</x:v>
      </x:c>
      <x:c r="E11" t="str">
        <x:v>organizations</x:v>
      </x:c>
      <x:c r="F11" s="22" t="str">
        <x:v>Conditional on security, privacy and accuracy readiness</x:v>
      </x:c>
      <x:c r="G11" t="str">
        <x:v>Founder / CEO</x:v>
      </x:c>
    </x:row>
    <x:row r="12" ht="43" customHeight="1">
      <x:c r="A12" t="str">
        <x:v>Pilot workflows with validated ROI</x:v>
      </x:c>
      <x:c r="B12" t="n">
        <x:v>1</x:v>
      </x:c>
      <x:c r="C12" s="42" t="n">
        <x:v>0</x:v>
      </x:c>
      <x:c r="D12" t="n">
        <x:f>C12-B12</x:f>
        <x:v>-1</x:v>
      </x:c>
      <x:c r="E12" t="str">
        <x:v>workflows</x:v>
      </x:c>
      <x:c r="F12" s="22" t="str">
        <x:v>Measured time saved or monetizable reduction in errors</x:v>
      </x:c>
      <x:c r="G12" t="str">
        <x:v>Founder / CEO</x:v>
      </x:c>
    </x:row>
    <x:row r="15" ht="28" customHeight="1">
      <x:c r="A15" s="28" t="str">
        <x:v>Definitions and cautions</x:v>
      </x:c>
      <x:c r="B15" s="28" t="str"/>
      <x:c r="C15" s="28" t="str"/>
      <x:c r="D15" s="28" t="str"/>
      <x:c r="E15" s="28" t="str"/>
      <x:c r="F15" s="28" t="str"/>
      <x:c r="G15" s="28" t="str"/>
    </x:row>
    <x:row r="16">
      <x:c r="A16" s="22" t="str">
        <x:v>Pilot success requires a repeatable, useful outcome, not just a cool AI demo. For small samples, report observed evidence rather than making market-wide claims. No production customer data without consent and appropriate security.</x:v>
      </x:c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</x:sheetData>
  <x:mergeCells>
    <x:mergeCell ref="A1:H2"/>
    <x:mergeCell ref="A16:G18"/>
  </x:mergeCells>
  <x:pageMargins left="0.7" right="0.7" top="0.75" bottom="0.75" header="0.3" footer="0.3"/>
</x:worksheet>
</file>